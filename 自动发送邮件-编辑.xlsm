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dre\Desktop\"/>
    </mc:Choice>
  </mc:AlternateContent>
  <bookViews>
    <workbookView xWindow="0" yWindow="0" windowWidth="20490" windowHeight="7380" activeTab="2"/>
  </bookViews>
  <sheets>
    <sheet name="邮件发送-勿删" sheetId="12" r:id="rId1"/>
    <sheet name="邮件发送（带表格）-勿删" sheetId="61" r:id="rId2"/>
    <sheet name="M15" sheetId="58" r:id="rId3"/>
    <sheet name="Sheet1" sheetId="59" r:id="rId4"/>
    <sheet name="FY2016决算" sheetId="60" r:id="rId5"/>
    <sheet name="邮件发送-勿删 (2)" sheetId="57" r:id="rId6"/>
    <sheet name="发送省区" sheetId="21" r:id="rId7"/>
    <sheet name="W13" sheetId="56" r:id="rId8"/>
    <sheet name="W12" sheetId="55" r:id="rId9"/>
    <sheet name="任务" sheetId="53" r:id="rId10"/>
  </sheets>
  <definedNames>
    <definedName name="_xlnm._FilterDatabase" localSheetId="4" hidden="1">FY2016决算!$A$1:$AW$2</definedName>
    <definedName name="_xlnm._FilterDatabase" localSheetId="2" hidden="1">'M15'!$A$1:$AS$1</definedName>
    <definedName name="_xlnm._FilterDatabase" localSheetId="8" hidden="1">'W12'!$A$1:$AS$22</definedName>
    <definedName name="_xlnm._FilterDatabase" localSheetId="7" hidden="1">'W13'!$A$1:$AS$26</definedName>
    <definedName name="_xlnm._FilterDatabase" localSheetId="6" hidden="1">发送省区!$A$1:$A$499</definedName>
    <definedName name="_xlnm._FilterDatabase" localSheetId="9" hidden="1">任务!$A$1:$AS$10</definedName>
    <definedName name="_xlnm._FilterDatabase" localSheetId="1" hidden="1">'邮件发送（带表格）-勿删'!$A$1:$AW$2</definedName>
    <definedName name="_xlnm._FilterDatabase" localSheetId="0" hidden="1">'邮件发送-勿删'!$A$1:$AS$1</definedName>
    <definedName name="_xlnm._FilterDatabase" localSheetId="5" hidden="1">'邮件发送-勿删 (2)'!$A$1:$AS$45</definedName>
    <definedName name="_xlnm.Extract" localSheetId="6">发送省区!$B$1</definedName>
  </definedNames>
  <calcPr calcId="152511"/>
</workbook>
</file>

<file path=xl/calcChain.xml><?xml version="1.0" encoding="utf-8"?>
<calcChain xmlns="http://schemas.openxmlformats.org/spreadsheetml/2006/main">
  <c r="AL44" i="61" l="1"/>
  <c r="AL43" i="61"/>
  <c r="AL42" i="61"/>
  <c r="AL41" i="61"/>
  <c r="AL40" i="61"/>
  <c r="AL39" i="61"/>
  <c r="AL38" i="61"/>
  <c r="AL37" i="61"/>
  <c r="AL36" i="61"/>
  <c r="AL35" i="61"/>
  <c r="AL34" i="61"/>
  <c r="AL33" i="61"/>
  <c r="AL32" i="61"/>
  <c r="AL31" i="61"/>
  <c r="AL30" i="61"/>
  <c r="AL29" i="61"/>
  <c r="AL28" i="61"/>
  <c r="AL27" i="61"/>
  <c r="AL26" i="61"/>
  <c r="AL25" i="61"/>
  <c r="AL24" i="61"/>
  <c r="AL23" i="61"/>
  <c r="AL22" i="61"/>
  <c r="AL21" i="61"/>
  <c r="AL20" i="61"/>
  <c r="AL19" i="61"/>
  <c r="AL18" i="61"/>
  <c r="AL17" i="61"/>
  <c r="AL16" i="61"/>
  <c r="AL15" i="61"/>
  <c r="AL14" i="61"/>
  <c r="AL13" i="61"/>
  <c r="AL12" i="61"/>
  <c r="AL11" i="61"/>
  <c r="AL10" i="61"/>
  <c r="AL9" i="61"/>
  <c r="AL8" i="61"/>
  <c r="AL7" i="61"/>
  <c r="AL6" i="61"/>
  <c r="AL5" i="61"/>
  <c r="AL4" i="61"/>
  <c r="AL3" i="61"/>
  <c r="AL2" i="61"/>
  <c r="M2" i="61"/>
  <c r="E2" i="61"/>
  <c r="D2" i="61"/>
  <c r="C2" i="61"/>
  <c r="B2" i="61"/>
  <c r="A2" i="61"/>
  <c r="AL44" i="60"/>
  <c r="AL43" i="60"/>
  <c r="AL42" i="60"/>
  <c r="AL41" i="60"/>
  <c r="AL40" i="60"/>
  <c r="AL39" i="60"/>
  <c r="AL38" i="60"/>
  <c r="AL37" i="60"/>
  <c r="AL36" i="60"/>
  <c r="AL35" i="60"/>
  <c r="AL34" i="60"/>
  <c r="AL33" i="60"/>
  <c r="AL32" i="60"/>
  <c r="AL31" i="60"/>
  <c r="AL30" i="60"/>
  <c r="AL29" i="60"/>
  <c r="AL28" i="60"/>
  <c r="AL27" i="60"/>
  <c r="AL26" i="60"/>
  <c r="AL25" i="60"/>
  <c r="AL24" i="60"/>
  <c r="AL23" i="60"/>
  <c r="AL22" i="60"/>
  <c r="AL21" i="60"/>
  <c r="AL20" i="60"/>
  <c r="AL19" i="60"/>
  <c r="AL18" i="60"/>
  <c r="AL17" i="60"/>
  <c r="AL16" i="60"/>
  <c r="AL15" i="60"/>
  <c r="AL14" i="60"/>
  <c r="AL13" i="60"/>
  <c r="AL12" i="60"/>
  <c r="AL11" i="60"/>
  <c r="AL10" i="60"/>
  <c r="AL9" i="60"/>
  <c r="AL8" i="60"/>
  <c r="AL7" i="60"/>
  <c r="AL6" i="60"/>
  <c r="AL5" i="60"/>
  <c r="AL4" i="60"/>
  <c r="AL3" i="60"/>
  <c r="D2" i="60"/>
  <c r="M2" i="60"/>
  <c r="AL2" i="60" l="1"/>
  <c r="B2" i="60" s="1"/>
  <c r="E2" i="60"/>
  <c r="C2" i="60"/>
  <c r="A2" i="60"/>
  <c r="H41" i="58" l="1"/>
  <c r="E41" i="58"/>
  <c r="D41" i="58"/>
  <c r="C41" i="58"/>
  <c r="B41" i="58"/>
  <c r="A41" i="58"/>
  <c r="AH40" i="58"/>
  <c r="H40" i="58"/>
  <c r="E40" i="58"/>
  <c r="D40" i="58"/>
  <c r="C40" i="58"/>
  <c r="B40" i="58"/>
  <c r="A40" i="58"/>
  <c r="AH39" i="58"/>
  <c r="B39" i="58" s="1"/>
  <c r="H39" i="58"/>
  <c r="E39" i="58"/>
  <c r="D39" i="58"/>
  <c r="C39" i="58"/>
  <c r="A39" i="58"/>
  <c r="AH38" i="58"/>
  <c r="B38" i="58" s="1"/>
  <c r="H38" i="58"/>
  <c r="E38" i="58"/>
  <c r="D38" i="58"/>
  <c r="C38" i="58"/>
  <c r="A38" i="58"/>
  <c r="AH37" i="58"/>
  <c r="B37" i="58" s="1"/>
  <c r="H37" i="58"/>
  <c r="E37" i="58"/>
  <c r="D37" i="58"/>
  <c r="C37" i="58"/>
  <c r="A37" i="58"/>
  <c r="AH36" i="58"/>
  <c r="B36" i="58" s="1"/>
  <c r="H36" i="58"/>
  <c r="E36" i="58"/>
  <c r="D36" i="58"/>
  <c r="C36" i="58"/>
  <c r="A36" i="58"/>
  <c r="AH35" i="58"/>
  <c r="B35" i="58" s="1"/>
  <c r="H35" i="58"/>
  <c r="E35" i="58"/>
  <c r="D35" i="58"/>
  <c r="C35" i="58"/>
  <c r="A35" i="58"/>
  <c r="AH34" i="58"/>
  <c r="B34" i="58" s="1"/>
  <c r="H34" i="58"/>
  <c r="E34" i="58"/>
  <c r="D34" i="58"/>
  <c r="C34" i="58"/>
  <c r="A34" i="58"/>
  <c r="AH33" i="58"/>
  <c r="B33" i="58" s="1"/>
  <c r="H33" i="58"/>
  <c r="E33" i="58"/>
  <c r="D33" i="58"/>
  <c r="C33" i="58"/>
  <c r="A33" i="58"/>
  <c r="AH32" i="58"/>
  <c r="B32" i="58" s="1"/>
  <c r="H32" i="58"/>
  <c r="E32" i="58"/>
  <c r="D32" i="58"/>
  <c r="C32" i="58"/>
  <c r="A32" i="58"/>
  <c r="AH31" i="58"/>
  <c r="B31" i="58" s="1"/>
  <c r="H31" i="58"/>
  <c r="E31" i="58"/>
  <c r="D31" i="58"/>
  <c r="C31" i="58"/>
  <c r="A31" i="58"/>
  <c r="AH30" i="58"/>
  <c r="B30" i="58" s="1"/>
  <c r="H30" i="58"/>
  <c r="E30" i="58"/>
  <c r="D30" i="58"/>
  <c r="C30" i="58"/>
  <c r="A30" i="58"/>
  <c r="AH29" i="58"/>
  <c r="B29" i="58" s="1"/>
  <c r="H29" i="58"/>
  <c r="E29" i="58"/>
  <c r="D29" i="58"/>
  <c r="C29" i="58"/>
  <c r="A29" i="58"/>
  <c r="AH28" i="58"/>
  <c r="B28" i="58" s="1"/>
  <c r="H28" i="58"/>
  <c r="E28" i="58"/>
  <c r="D28" i="58"/>
  <c r="C28" i="58"/>
  <c r="A28" i="58"/>
  <c r="AH27" i="58"/>
  <c r="B27" i="58" s="1"/>
  <c r="H27" i="58"/>
  <c r="E27" i="58"/>
  <c r="D27" i="58"/>
  <c r="C27" i="58"/>
  <c r="A27" i="58"/>
  <c r="AH26" i="58"/>
  <c r="B26" i="58" s="1"/>
  <c r="H26" i="58"/>
  <c r="E26" i="58"/>
  <c r="D26" i="58"/>
  <c r="C26" i="58"/>
  <c r="A26" i="58"/>
  <c r="AH25" i="58"/>
  <c r="H25" i="58"/>
  <c r="E25" i="58"/>
  <c r="D25" i="58"/>
  <c r="C25" i="58"/>
  <c r="B25" i="58"/>
  <c r="A25" i="58"/>
  <c r="AH24" i="58"/>
  <c r="B24" i="58" s="1"/>
  <c r="H24" i="58"/>
  <c r="E24" i="58"/>
  <c r="D24" i="58"/>
  <c r="C24" i="58"/>
  <c r="A24" i="58"/>
  <c r="AH23" i="58"/>
  <c r="B23" i="58" s="1"/>
  <c r="H23" i="58"/>
  <c r="E23" i="58"/>
  <c r="D23" i="58"/>
  <c r="C23" i="58"/>
  <c r="A23" i="58"/>
  <c r="AH22" i="58"/>
  <c r="H22" i="58"/>
  <c r="E22" i="58"/>
  <c r="D22" i="58"/>
  <c r="C22" i="58"/>
  <c r="B22" i="58"/>
  <c r="A22" i="58"/>
  <c r="AH21" i="58"/>
  <c r="B21" i="58" s="1"/>
  <c r="H21" i="58"/>
  <c r="E21" i="58"/>
  <c r="D21" i="58"/>
  <c r="C21" i="58"/>
  <c r="A21" i="58"/>
  <c r="AH20" i="58"/>
  <c r="B20" i="58" s="1"/>
  <c r="H20" i="58"/>
  <c r="E20" i="58"/>
  <c r="D20" i="58"/>
  <c r="C20" i="58"/>
  <c r="A20" i="58"/>
  <c r="AH19" i="58"/>
  <c r="B19" i="58" s="1"/>
  <c r="H19" i="58"/>
  <c r="E19" i="58"/>
  <c r="D19" i="58"/>
  <c r="C19" i="58"/>
  <c r="A19" i="58"/>
  <c r="AH18" i="58"/>
  <c r="B18" i="58" s="1"/>
  <c r="H18" i="58"/>
  <c r="E18" i="58"/>
  <c r="D18" i="58"/>
  <c r="C18" i="58"/>
  <c r="A18" i="58"/>
  <c r="AH17" i="58"/>
  <c r="B17" i="58" s="1"/>
  <c r="H17" i="58"/>
  <c r="E17" i="58"/>
  <c r="D17" i="58"/>
  <c r="C17" i="58"/>
  <c r="A17" i="58"/>
  <c r="AH16" i="58"/>
  <c r="B16" i="58" s="1"/>
  <c r="H16" i="58"/>
  <c r="E16" i="58"/>
  <c r="D16" i="58"/>
  <c r="C16" i="58"/>
  <c r="A16" i="58"/>
  <c r="AH15" i="58"/>
  <c r="B15" i="58" s="1"/>
  <c r="H15" i="58"/>
  <c r="E15" i="58"/>
  <c r="D15" i="58"/>
  <c r="C15" i="58"/>
  <c r="A15" i="58"/>
  <c r="AH14" i="58"/>
  <c r="B14" i="58" s="1"/>
  <c r="H14" i="58"/>
  <c r="E14" i="58"/>
  <c r="D14" i="58"/>
  <c r="C14" i="58"/>
  <c r="A14" i="58"/>
  <c r="AH13" i="58"/>
  <c r="B13" i="58" s="1"/>
  <c r="H13" i="58"/>
  <c r="E13" i="58"/>
  <c r="D13" i="58"/>
  <c r="C13" i="58"/>
  <c r="A13" i="58"/>
  <c r="AH12" i="58"/>
  <c r="H12" i="58"/>
  <c r="E12" i="58"/>
  <c r="D12" i="58"/>
  <c r="C12" i="58"/>
  <c r="B12" i="58"/>
  <c r="A12" i="58"/>
  <c r="AH11" i="58"/>
  <c r="B11" i="58" s="1"/>
  <c r="H11" i="58"/>
  <c r="E11" i="58"/>
  <c r="D11" i="58"/>
  <c r="C11" i="58"/>
  <c r="A11" i="58"/>
  <c r="AH10" i="58"/>
  <c r="B10" i="58" s="1"/>
  <c r="H10" i="58"/>
  <c r="E10" i="58"/>
  <c r="D10" i="58"/>
  <c r="C10" i="58"/>
  <c r="A10" i="58"/>
  <c r="AH9" i="58"/>
  <c r="B9" i="58" s="1"/>
  <c r="H9" i="58"/>
  <c r="E9" i="58"/>
  <c r="D9" i="58"/>
  <c r="C9" i="58"/>
  <c r="A9" i="58"/>
  <c r="AH8" i="58"/>
  <c r="B8" i="58" s="1"/>
  <c r="H8" i="58"/>
  <c r="E8" i="58"/>
  <c r="D8" i="58"/>
  <c r="C8" i="58"/>
  <c r="A8" i="58"/>
  <c r="AH7" i="58"/>
  <c r="B7" i="58" s="1"/>
  <c r="H7" i="58"/>
  <c r="E7" i="58"/>
  <c r="D7" i="58"/>
  <c r="C7" i="58"/>
  <c r="A7" i="58"/>
  <c r="AH6" i="58"/>
  <c r="B6" i="58" s="1"/>
  <c r="H6" i="58"/>
  <c r="E6" i="58"/>
  <c r="D6" i="58"/>
  <c r="C6" i="58"/>
  <c r="A6" i="58"/>
  <c r="AH5" i="58"/>
  <c r="B5" i="58" s="1"/>
  <c r="H5" i="58"/>
  <c r="E5" i="58"/>
  <c r="D5" i="58"/>
  <c r="C5" i="58"/>
  <c r="A5" i="58"/>
  <c r="AH4" i="58"/>
  <c r="B4" i="58" s="1"/>
  <c r="H4" i="58"/>
  <c r="E4" i="58"/>
  <c r="D4" i="58"/>
  <c r="C4" i="58"/>
  <c r="A4" i="58"/>
  <c r="AH3" i="58"/>
  <c r="B3" i="58" s="1"/>
  <c r="H3" i="58"/>
  <c r="E3" i="58"/>
  <c r="D3" i="58"/>
  <c r="C3" i="58"/>
  <c r="A3" i="58"/>
  <c r="AH2" i="58"/>
  <c r="B2" i="58" s="1"/>
  <c r="E2" i="58"/>
  <c r="D2" i="58"/>
  <c r="C2" i="58"/>
  <c r="A2" i="58"/>
  <c r="H45" i="57" l="1"/>
  <c r="E45" i="57"/>
  <c r="D45" i="57"/>
  <c r="C45" i="57"/>
  <c r="B45" i="57"/>
  <c r="A45" i="57"/>
  <c r="AH44" i="57"/>
  <c r="H44" i="57"/>
  <c r="E44" i="57"/>
  <c r="D44" i="57"/>
  <c r="C44" i="57"/>
  <c r="B44" i="57"/>
  <c r="A44" i="57"/>
  <c r="AH43" i="57"/>
  <c r="H43" i="57"/>
  <c r="E43" i="57"/>
  <c r="D43" i="57"/>
  <c r="C43" i="57"/>
  <c r="B43" i="57"/>
  <c r="A43" i="57"/>
  <c r="AH42" i="57"/>
  <c r="B42" i="57" s="1"/>
  <c r="H42" i="57"/>
  <c r="E42" i="57"/>
  <c r="D42" i="57"/>
  <c r="C42" i="57"/>
  <c r="A42" i="57"/>
  <c r="AH41" i="57"/>
  <c r="B41" i="57" s="1"/>
  <c r="H41" i="57"/>
  <c r="E41" i="57"/>
  <c r="D41" i="57"/>
  <c r="C41" i="57"/>
  <c r="A41" i="57"/>
  <c r="AH40" i="57"/>
  <c r="B40" i="57" s="1"/>
  <c r="H40" i="57"/>
  <c r="E40" i="57"/>
  <c r="D40" i="57"/>
  <c r="C40" i="57"/>
  <c r="A40" i="57"/>
  <c r="AH39" i="57"/>
  <c r="B39" i="57" s="1"/>
  <c r="H39" i="57"/>
  <c r="E39" i="57"/>
  <c r="D39" i="57"/>
  <c r="C39" i="57"/>
  <c r="A39" i="57"/>
  <c r="AH38" i="57"/>
  <c r="B38" i="57" s="1"/>
  <c r="H38" i="57"/>
  <c r="E38" i="57"/>
  <c r="D38" i="57"/>
  <c r="C38" i="57"/>
  <c r="A38" i="57"/>
  <c r="AH37" i="57"/>
  <c r="B37" i="57" s="1"/>
  <c r="H37" i="57"/>
  <c r="E37" i="57"/>
  <c r="D37" i="57"/>
  <c r="C37" i="57"/>
  <c r="A37" i="57"/>
  <c r="AH36" i="57"/>
  <c r="B36" i="57" s="1"/>
  <c r="H36" i="57"/>
  <c r="E36" i="57"/>
  <c r="D36" i="57"/>
  <c r="C36" i="57"/>
  <c r="A36" i="57"/>
  <c r="AH35" i="57"/>
  <c r="B35" i="57" s="1"/>
  <c r="H35" i="57"/>
  <c r="E35" i="57"/>
  <c r="D35" i="57"/>
  <c r="C35" i="57"/>
  <c r="A35" i="57"/>
  <c r="AH34" i="57"/>
  <c r="B34" i="57" s="1"/>
  <c r="H34" i="57"/>
  <c r="E34" i="57"/>
  <c r="D34" i="57"/>
  <c r="C34" i="57"/>
  <c r="A34" i="57"/>
  <c r="AH33" i="57"/>
  <c r="B33" i="57" s="1"/>
  <c r="H33" i="57"/>
  <c r="E33" i="57"/>
  <c r="D33" i="57"/>
  <c r="C33" i="57"/>
  <c r="A33" i="57"/>
  <c r="AH32" i="57"/>
  <c r="B32" i="57" s="1"/>
  <c r="H32" i="57"/>
  <c r="E32" i="57"/>
  <c r="D32" i="57"/>
  <c r="C32" i="57"/>
  <c r="A32" i="57"/>
  <c r="AH31" i="57"/>
  <c r="B31" i="57" s="1"/>
  <c r="H31" i="57"/>
  <c r="E31" i="57"/>
  <c r="D31" i="57"/>
  <c r="C31" i="57"/>
  <c r="A31" i="57"/>
  <c r="AH30" i="57"/>
  <c r="B30" i="57" s="1"/>
  <c r="H30" i="57"/>
  <c r="E30" i="57"/>
  <c r="D30" i="57"/>
  <c r="C30" i="57"/>
  <c r="A30" i="57"/>
  <c r="AH29" i="57"/>
  <c r="B29" i="57" s="1"/>
  <c r="H29" i="57"/>
  <c r="E29" i="57"/>
  <c r="D29" i="57"/>
  <c r="C29" i="57"/>
  <c r="A29" i="57"/>
  <c r="AH28" i="57"/>
  <c r="B28" i="57" s="1"/>
  <c r="H28" i="57"/>
  <c r="E28" i="57"/>
  <c r="D28" i="57"/>
  <c r="C28" i="57"/>
  <c r="A28" i="57"/>
  <c r="AH27" i="57"/>
  <c r="B27" i="57" s="1"/>
  <c r="H27" i="57"/>
  <c r="E27" i="57"/>
  <c r="D27" i="57"/>
  <c r="C27" i="57"/>
  <c r="A27" i="57"/>
  <c r="AH26" i="57"/>
  <c r="B26" i="57" s="1"/>
  <c r="H26" i="57"/>
  <c r="E26" i="57"/>
  <c r="D26" i="57"/>
  <c r="C26" i="57"/>
  <c r="A26" i="57"/>
  <c r="AH25" i="57"/>
  <c r="B25" i="57" s="1"/>
  <c r="H25" i="57"/>
  <c r="E25" i="57"/>
  <c r="D25" i="57"/>
  <c r="C25" i="57"/>
  <c r="A25" i="57"/>
  <c r="AH24" i="57"/>
  <c r="B24" i="57" s="1"/>
  <c r="H24" i="57"/>
  <c r="E24" i="57"/>
  <c r="D24" i="57"/>
  <c r="C24" i="57"/>
  <c r="A24" i="57"/>
  <c r="AH23" i="57"/>
  <c r="B23" i="57" s="1"/>
  <c r="H23" i="57"/>
  <c r="E23" i="57"/>
  <c r="D23" i="57"/>
  <c r="C23" i="57"/>
  <c r="A23" i="57"/>
  <c r="AH22" i="57"/>
  <c r="B22" i="57" s="1"/>
  <c r="H22" i="57"/>
  <c r="E22" i="57"/>
  <c r="D22" i="57"/>
  <c r="C22" i="57"/>
  <c r="A22" i="57"/>
  <c r="AH21" i="57"/>
  <c r="B21" i="57" s="1"/>
  <c r="H21" i="57"/>
  <c r="E21" i="57"/>
  <c r="D21" i="57"/>
  <c r="C21" i="57"/>
  <c r="A21" i="57"/>
  <c r="AH20" i="57"/>
  <c r="B20" i="57" s="1"/>
  <c r="H20" i="57"/>
  <c r="E20" i="57"/>
  <c r="D20" i="57"/>
  <c r="C20" i="57"/>
  <c r="A20" i="57"/>
  <c r="AH19" i="57"/>
  <c r="B19" i="57" s="1"/>
  <c r="H19" i="57"/>
  <c r="E19" i="57"/>
  <c r="D19" i="57"/>
  <c r="C19" i="57"/>
  <c r="A19" i="57"/>
  <c r="AH18" i="57"/>
  <c r="B18" i="57" s="1"/>
  <c r="H18" i="57"/>
  <c r="E18" i="57"/>
  <c r="D18" i="57"/>
  <c r="C18" i="57"/>
  <c r="A18" i="57"/>
  <c r="AH17" i="57"/>
  <c r="B17" i="57" s="1"/>
  <c r="H17" i="57"/>
  <c r="E17" i="57"/>
  <c r="D17" i="57"/>
  <c r="C17" i="57"/>
  <c r="A17" i="57"/>
  <c r="AH16" i="57"/>
  <c r="B16" i="57" s="1"/>
  <c r="H16" i="57"/>
  <c r="E16" i="57"/>
  <c r="D16" i="57"/>
  <c r="C16" i="57"/>
  <c r="A16" i="57"/>
  <c r="AH15" i="57"/>
  <c r="B15" i="57" s="1"/>
  <c r="H15" i="57"/>
  <c r="E15" i="57"/>
  <c r="D15" i="57"/>
  <c r="C15" i="57"/>
  <c r="A15" i="57"/>
  <c r="AH14" i="57"/>
  <c r="B14" i="57" s="1"/>
  <c r="H14" i="57"/>
  <c r="E14" i="57"/>
  <c r="D14" i="57"/>
  <c r="C14" i="57"/>
  <c r="A14" i="57"/>
  <c r="AH13" i="57"/>
  <c r="B13" i="57" s="1"/>
  <c r="H13" i="57"/>
  <c r="E13" i="57"/>
  <c r="D13" i="57"/>
  <c r="C13" i="57"/>
  <c r="A13" i="57"/>
  <c r="AH12" i="57"/>
  <c r="B12" i="57" s="1"/>
  <c r="H12" i="57"/>
  <c r="E12" i="57"/>
  <c r="D12" i="57"/>
  <c r="C12" i="57"/>
  <c r="A12" i="57"/>
  <c r="AH11" i="57"/>
  <c r="H11" i="57"/>
  <c r="E11" i="57"/>
  <c r="D11" i="57"/>
  <c r="C11" i="57"/>
  <c r="B11" i="57"/>
  <c r="A11" i="57"/>
  <c r="AH10" i="57"/>
  <c r="B10" i="57" s="1"/>
  <c r="H10" i="57"/>
  <c r="E10" i="57"/>
  <c r="D10" i="57"/>
  <c r="C10" i="57"/>
  <c r="A10" i="57"/>
  <c r="AH9" i="57"/>
  <c r="B9" i="57" s="1"/>
  <c r="H9" i="57"/>
  <c r="E9" i="57"/>
  <c r="D9" i="57"/>
  <c r="C9" i="57"/>
  <c r="A9" i="57"/>
  <c r="AH8" i="57"/>
  <c r="H8" i="57"/>
  <c r="E8" i="57"/>
  <c r="D8" i="57"/>
  <c r="C8" i="57"/>
  <c r="B8" i="57"/>
  <c r="A8" i="57"/>
  <c r="AH7" i="57"/>
  <c r="B7" i="57" s="1"/>
  <c r="H7" i="57"/>
  <c r="E7" i="57"/>
  <c r="D7" i="57"/>
  <c r="C7" i="57"/>
  <c r="A7" i="57"/>
  <c r="AH6" i="57"/>
  <c r="B6" i="57" s="1"/>
  <c r="H6" i="57"/>
  <c r="E6" i="57"/>
  <c r="D6" i="57"/>
  <c r="C6" i="57"/>
  <c r="A6" i="57"/>
  <c r="AH5" i="57"/>
  <c r="B5" i="57" s="1"/>
  <c r="H5" i="57"/>
  <c r="E5" i="57"/>
  <c r="D5" i="57"/>
  <c r="C5" i="57"/>
  <c r="A5" i="57"/>
  <c r="AH4" i="57"/>
  <c r="B4" i="57" s="1"/>
  <c r="H4" i="57"/>
  <c r="E4" i="57"/>
  <c r="D4" i="57"/>
  <c r="C4" i="57"/>
  <c r="A4" i="57"/>
  <c r="AH3" i="57"/>
  <c r="B3" i="57" s="1"/>
  <c r="H3" i="57"/>
  <c r="E3" i="57"/>
  <c r="D3" i="57"/>
  <c r="C3" i="57"/>
  <c r="A3" i="57"/>
  <c r="AH2" i="57"/>
  <c r="B2" i="57" s="1"/>
  <c r="E2" i="57"/>
  <c r="D2" i="57"/>
  <c r="C2" i="57"/>
  <c r="A2" i="57"/>
  <c r="E26" i="56" l="1"/>
  <c r="D26" i="56"/>
  <c r="C26" i="56"/>
  <c r="B26" i="56"/>
  <c r="A26" i="56"/>
  <c r="AH25" i="56"/>
  <c r="B25" i="56" s="1"/>
  <c r="E25" i="56"/>
  <c r="D25" i="56"/>
  <c r="C25" i="56"/>
  <c r="A25" i="56"/>
  <c r="AH24" i="56"/>
  <c r="E24" i="56"/>
  <c r="D24" i="56"/>
  <c r="C24" i="56"/>
  <c r="B24" i="56"/>
  <c r="A24" i="56"/>
  <c r="AH23" i="56"/>
  <c r="E23" i="56"/>
  <c r="D23" i="56"/>
  <c r="C23" i="56"/>
  <c r="B23" i="56"/>
  <c r="A23" i="56"/>
  <c r="AH22" i="56"/>
  <c r="E22" i="56"/>
  <c r="D22" i="56"/>
  <c r="C22" i="56"/>
  <c r="B22" i="56"/>
  <c r="A22" i="56"/>
  <c r="AH21" i="56"/>
  <c r="B21" i="56" s="1"/>
  <c r="E21" i="56"/>
  <c r="D21" i="56"/>
  <c r="C21" i="56"/>
  <c r="A21" i="56"/>
  <c r="AH20" i="56"/>
  <c r="B20" i="56" s="1"/>
  <c r="E20" i="56"/>
  <c r="D20" i="56"/>
  <c r="C20" i="56"/>
  <c r="A20" i="56"/>
  <c r="AH19" i="56"/>
  <c r="B19" i="56" s="1"/>
  <c r="E19" i="56"/>
  <c r="D19" i="56"/>
  <c r="C19" i="56"/>
  <c r="A19" i="56"/>
  <c r="AH18" i="56"/>
  <c r="B18" i="56" s="1"/>
  <c r="E18" i="56"/>
  <c r="D18" i="56"/>
  <c r="C18" i="56"/>
  <c r="A18" i="56"/>
  <c r="AH17" i="56"/>
  <c r="E17" i="56"/>
  <c r="D17" i="56"/>
  <c r="C17" i="56"/>
  <c r="B17" i="56"/>
  <c r="A17" i="56"/>
  <c r="AH16" i="56"/>
  <c r="B16" i="56" s="1"/>
  <c r="E16" i="56"/>
  <c r="D16" i="56"/>
  <c r="C16" i="56"/>
  <c r="A16" i="56"/>
  <c r="AH15" i="56"/>
  <c r="B15" i="56" s="1"/>
  <c r="E15" i="56"/>
  <c r="D15" i="56"/>
  <c r="C15" i="56"/>
  <c r="A15" i="56"/>
  <c r="AH14" i="56"/>
  <c r="E14" i="56"/>
  <c r="D14" i="56"/>
  <c r="C14" i="56"/>
  <c r="B14" i="56"/>
  <c r="A14" i="56"/>
  <c r="AH13" i="56"/>
  <c r="B13" i="56" s="1"/>
  <c r="E13" i="56"/>
  <c r="D13" i="56"/>
  <c r="C13" i="56"/>
  <c r="A13" i="56"/>
  <c r="AH12" i="56"/>
  <c r="B12" i="56" s="1"/>
  <c r="E12" i="56"/>
  <c r="D12" i="56"/>
  <c r="C12" i="56"/>
  <c r="A12" i="56"/>
  <c r="AH11" i="56"/>
  <c r="E11" i="56"/>
  <c r="D11" i="56"/>
  <c r="C11" i="56"/>
  <c r="B11" i="56"/>
  <c r="A11" i="56"/>
  <c r="AH10" i="56"/>
  <c r="B10" i="56" s="1"/>
  <c r="E10" i="56"/>
  <c r="D10" i="56"/>
  <c r="C10" i="56"/>
  <c r="A10" i="56"/>
  <c r="AH9" i="56"/>
  <c r="B9" i="56" s="1"/>
  <c r="E9" i="56"/>
  <c r="D9" i="56"/>
  <c r="C9" i="56"/>
  <c r="A9" i="56"/>
  <c r="AH8" i="56"/>
  <c r="B8" i="56" s="1"/>
  <c r="E8" i="56"/>
  <c r="D8" i="56"/>
  <c r="C8" i="56"/>
  <c r="A8" i="56"/>
  <c r="AH7" i="56"/>
  <c r="B7" i="56" s="1"/>
  <c r="E7" i="56"/>
  <c r="D7" i="56"/>
  <c r="C7" i="56"/>
  <c r="A7" i="56"/>
  <c r="AH6" i="56"/>
  <c r="B6" i="56" s="1"/>
  <c r="E6" i="56"/>
  <c r="D6" i="56"/>
  <c r="C6" i="56"/>
  <c r="A6" i="56"/>
  <c r="AH5" i="56"/>
  <c r="B5" i="56" s="1"/>
  <c r="E5" i="56"/>
  <c r="D5" i="56"/>
  <c r="C5" i="56"/>
  <c r="A5" i="56"/>
  <c r="AH4" i="56"/>
  <c r="B4" i="56" s="1"/>
  <c r="E4" i="56"/>
  <c r="D4" i="56"/>
  <c r="C4" i="56"/>
  <c r="A4" i="56"/>
  <c r="AH3" i="56"/>
  <c r="B3" i="56" s="1"/>
  <c r="E3" i="56"/>
  <c r="D3" i="56"/>
  <c r="C3" i="56"/>
  <c r="A3" i="56"/>
  <c r="AH2" i="56"/>
  <c r="B2" i="56" s="1"/>
  <c r="E2" i="56"/>
  <c r="D2" i="56"/>
  <c r="C2" i="56"/>
  <c r="A2" i="56"/>
  <c r="E22" i="55" l="1"/>
  <c r="D22" i="55"/>
  <c r="C22" i="55"/>
  <c r="B22" i="55"/>
  <c r="A22" i="55"/>
  <c r="AH21" i="55"/>
  <c r="E21" i="55"/>
  <c r="D21" i="55"/>
  <c r="C21" i="55"/>
  <c r="B21" i="55"/>
  <c r="A21" i="55"/>
  <c r="AH20" i="55"/>
  <c r="B20" i="55" s="1"/>
  <c r="E20" i="55"/>
  <c r="D20" i="55"/>
  <c r="C20" i="55"/>
  <c r="A20" i="55"/>
  <c r="AH19" i="55"/>
  <c r="B19" i="55" s="1"/>
  <c r="E19" i="55"/>
  <c r="D19" i="55"/>
  <c r="C19" i="55"/>
  <c r="A19" i="55"/>
  <c r="AH18" i="55"/>
  <c r="B18" i="55" s="1"/>
  <c r="E18" i="55"/>
  <c r="D18" i="55"/>
  <c r="C18" i="55"/>
  <c r="A18" i="55"/>
  <c r="AH17" i="55"/>
  <c r="B17" i="55" s="1"/>
  <c r="E17" i="55"/>
  <c r="D17" i="55"/>
  <c r="C17" i="55"/>
  <c r="A17" i="55"/>
  <c r="AH16" i="55"/>
  <c r="B16" i="55" s="1"/>
  <c r="E16" i="55"/>
  <c r="D16" i="55"/>
  <c r="C16" i="55"/>
  <c r="A16" i="55"/>
  <c r="AH15" i="55"/>
  <c r="B15" i="55" s="1"/>
  <c r="E15" i="55"/>
  <c r="D15" i="55"/>
  <c r="C15" i="55"/>
  <c r="A15" i="55"/>
  <c r="AH14" i="55"/>
  <c r="B14" i="55" s="1"/>
  <c r="E14" i="55"/>
  <c r="D14" i="55"/>
  <c r="C14" i="55"/>
  <c r="A14" i="55"/>
  <c r="AH13" i="55"/>
  <c r="B13" i="55" s="1"/>
  <c r="E13" i="55"/>
  <c r="D13" i="55"/>
  <c r="C13" i="55"/>
  <c r="A13" i="55"/>
  <c r="AH12" i="55"/>
  <c r="B12" i="55" s="1"/>
  <c r="E12" i="55"/>
  <c r="D12" i="55"/>
  <c r="C12" i="55"/>
  <c r="A12" i="55"/>
  <c r="AH11" i="55"/>
  <c r="B11" i="55" s="1"/>
  <c r="E11" i="55"/>
  <c r="D11" i="55"/>
  <c r="C11" i="55"/>
  <c r="A11" i="55"/>
  <c r="AH10" i="55"/>
  <c r="B10" i="55" s="1"/>
  <c r="E10" i="55"/>
  <c r="D10" i="55"/>
  <c r="C10" i="55"/>
  <c r="A10" i="55"/>
  <c r="AH9" i="55"/>
  <c r="B9" i="55" s="1"/>
  <c r="E9" i="55"/>
  <c r="D9" i="55"/>
  <c r="C9" i="55"/>
  <c r="A9" i="55"/>
  <c r="AH8" i="55"/>
  <c r="B8" i="55" s="1"/>
  <c r="E8" i="55"/>
  <c r="D8" i="55"/>
  <c r="C8" i="55"/>
  <c r="A8" i="55"/>
  <c r="AH7" i="55"/>
  <c r="B7" i="55" s="1"/>
  <c r="E7" i="55"/>
  <c r="D7" i="55"/>
  <c r="C7" i="55"/>
  <c r="A7" i="55"/>
  <c r="AH6" i="55"/>
  <c r="B6" i="55" s="1"/>
  <c r="E6" i="55"/>
  <c r="D6" i="55"/>
  <c r="C6" i="55"/>
  <c r="A6" i="55"/>
  <c r="AH5" i="55"/>
  <c r="B5" i="55" s="1"/>
  <c r="E5" i="55"/>
  <c r="D5" i="55"/>
  <c r="C5" i="55"/>
  <c r="A5" i="55"/>
  <c r="AH4" i="55"/>
  <c r="B4" i="55" s="1"/>
  <c r="E4" i="55"/>
  <c r="D4" i="55"/>
  <c r="C4" i="55"/>
  <c r="A4" i="55"/>
  <c r="AH3" i="55"/>
  <c r="B3" i="55" s="1"/>
  <c r="E3" i="55"/>
  <c r="D3" i="55"/>
  <c r="C3" i="55"/>
  <c r="A3" i="55"/>
  <c r="AH2" i="55"/>
  <c r="B2" i="55" s="1"/>
  <c r="E2" i="55"/>
  <c r="D2" i="55"/>
  <c r="C2" i="55"/>
  <c r="A2" i="55"/>
  <c r="E3" i="12" l="1"/>
  <c r="E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A45" i="12" l="1"/>
  <c r="B45" i="12"/>
  <c r="C45" i="12"/>
  <c r="D45" i="12"/>
  <c r="E2" i="12"/>
  <c r="H3" i="12" l="1"/>
  <c r="C3" i="53"/>
  <c r="C4" i="53"/>
  <c r="C5" i="53"/>
  <c r="C6" i="53"/>
  <c r="C7" i="53"/>
  <c r="C8" i="53"/>
  <c r="C9" i="53"/>
  <c r="C10" i="53"/>
  <c r="C2" i="53" l="1"/>
  <c r="B4" i="53"/>
  <c r="B5" i="53"/>
  <c r="B6" i="53"/>
  <c r="B7" i="53"/>
  <c r="B8" i="53"/>
  <c r="B9" i="53"/>
  <c r="B10" i="53"/>
  <c r="B3" i="53"/>
  <c r="AH10" i="53" l="1"/>
  <c r="D10" i="53"/>
  <c r="A10" i="53"/>
  <c r="AH9" i="53"/>
  <c r="D9" i="53"/>
  <c r="A9" i="53"/>
  <c r="AH8" i="53"/>
  <c r="D8" i="53"/>
  <c r="A8" i="53"/>
  <c r="AH7" i="53"/>
  <c r="D7" i="53"/>
  <c r="A7" i="53"/>
  <c r="AH6" i="53"/>
  <c r="D6" i="53"/>
  <c r="A6" i="53"/>
  <c r="AH5" i="53"/>
  <c r="D5" i="53"/>
  <c r="A5" i="53"/>
  <c r="AH4" i="53"/>
  <c r="D4" i="53"/>
  <c r="A4" i="53"/>
  <c r="AH3" i="53"/>
  <c r="D3" i="53"/>
  <c r="A3" i="53"/>
  <c r="AH2" i="53"/>
  <c r="B2" i="53" s="1"/>
  <c r="D2" i="53"/>
  <c r="A2" i="53"/>
  <c r="C2" i="21" l="1"/>
  <c r="C1" i="21"/>
  <c r="C4" i="21"/>
  <c r="C3" i="21" l="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H45" i="12" l="1"/>
  <c r="AH15" i="12"/>
  <c r="AH32" i="12"/>
  <c r="B32" i="12" s="1"/>
  <c r="AH20" i="12"/>
  <c r="B20" i="12" s="1"/>
  <c r="AH22" i="12"/>
  <c r="B22" i="12" s="1"/>
  <c r="AH44" i="12"/>
  <c r="B44" i="12" s="1"/>
  <c r="H44" i="12"/>
  <c r="D44" i="12"/>
  <c r="C44" i="12"/>
  <c r="A44" i="12"/>
  <c r="AH43" i="12"/>
  <c r="B43" i="12" s="1"/>
  <c r="H43" i="12"/>
  <c r="D43" i="12"/>
  <c r="C43" i="12"/>
  <c r="A43" i="12"/>
  <c r="AH42" i="12"/>
  <c r="B42" i="12" s="1"/>
  <c r="H42" i="12"/>
  <c r="D42" i="12"/>
  <c r="C42" i="12"/>
  <c r="A42" i="12"/>
  <c r="AH41" i="12"/>
  <c r="B41" i="12" s="1"/>
  <c r="H41" i="12"/>
  <c r="D41" i="12"/>
  <c r="C41" i="12"/>
  <c r="A41" i="12"/>
  <c r="AH40" i="12"/>
  <c r="B40" i="12" s="1"/>
  <c r="H40" i="12"/>
  <c r="D40" i="12"/>
  <c r="C40" i="12"/>
  <c r="A40" i="12"/>
  <c r="AH39" i="12"/>
  <c r="B39" i="12" s="1"/>
  <c r="H39" i="12"/>
  <c r="D39" i="12"/>
  <c r="C39" i="12"/>
  <c r="A39" i="12"/>
  <c r="AH38" i="12"/>
  <c r="B38" i="12" s="1"/>
  <c r="H38" i="12"/>
  <c r="D38" i="12"/>
  <c r="C38" i="12"/>
  <c r="A38" i="12"/>
  <c r="AH37" i="12"/>
  <c r="H37" i="12"/>
  <c r="D37" i="12"/>
  <c r="C37" i="12"/>
  <c r="B37" i="12"/>
  <c r="A37" i="12"/>
  <c r="AH36" i="12"/>
  <c r="B36" i="12" s="1"/>
  <c r="H36" i="12"/>
  <c r="D36" i="12"/>
  <c r="C36" i="12"/>
  <c r="A36" i="12"/>
  <c r="AH35" i="12"/>
  <c r="B35" i="12" s="1"/>
  <c r="H35" i="12"/>
  <c r="D35" i="12"/>
  <c r="C35" i="12"/>
  <c r="A35" i="12"/>
  <c r="AH34" i="12"/>
  <c r="B34" i="12" s="1"/>
  <c r="H34" i="12"/>
  <c r="D34" i="12"/>
  <c r="C34" i="12"/>
  <c r="A34" i="12"/>
  <c r="AH33" i="12"/>
  <c r="B33" i="12" s="1"/>
  <c r="H33" i="12"/>
  <c r="D33" i="12"/>
  <c r="C33" i="12"/>
  <c r="A33" i="12"/>
  <c r="H32" i="12"/>
  <c r="D32" i="12"/>
  <c r="C32" i="12"/>
  <c r="A32" i="12"/>
  <c r="AH31" i="12"/>
  <c r="B31" i="12" s="1"/>
  <c r="H31" i="12"/>
  <c r="D31" i="12"/>
  <c r="C31" i="12"/>
  <c r="A31" i="12"/>
  <c r="AH30" i="12"/>
  <c r="B30" i="12" s="1"/>
  <c r="H30" i="12"/>
  <c r="D30" i="12"/>
  <c r="C30" i="12"/>
  <c r="A30" i="12"/>
  <c r="AH29" i="12"/>
  <c r="B29" i="12" s="1"/>
  <c r="H29" i="12"/>
  <c r="D29" i="12"/>
  <c r="C29" i="12"/>
  <c r="A29" i="12"/>
  <c r="AH28" i="12"/>
  <c r="B28" i="12" s="1"/>
  <c r="H28" i="12"/>
  <c r="D28" i="12"/>
  <c r="C28" i="12"/>
  <c r="A28" i="12"/>
  <c r="AH27" i="12"/>
  <c r="H27" i="12"/>
  <c r="D27" i="12"/>
  <c r="C27" i="12"/>
  <c r="B27" i="12"/>
  <c r="A27" i="12"/>
  <c r="AH26" i="12"/>
  <c r="H26" i="12"/>
  <c r="D26" i="12"/>
  <c r="C26" i="12"/>
  <c r="B26" i="12"/>
  <c r="A26" i="12"/>
  <c r="AH25" i="12"/>
  <c r="B25" i="12" s="1"/>
  <c r="H25" i="12"/>
  <c r="D25" i="12"/>
  <c r="C25" i="12"/>
  <c r="A25" i="12"/>
  <c r="AH24" i="12"/>
  <c r="B24" i="12" s="1"/>
  <c r="H24" i="12"/>
  <c r="D24" i="12"/>
  <c r="C24" i="12"/>
  <c r="A24" i="12"/>
  <c r="AH23" i="12"/>
  <c r="B23" i="12" s="1"/>
  <c r="H23" i="12"/>
  <c r="D23" i="12"/>
  <c r="C23" i="12"/>
  <c r="A23" i="12"/>
  <c r="H22" i="12"/>
  <c r="D22" i="12"/>
  <c r="C22" i="12"/>
  <c r="A22" i="12"/>
  <c r="AH21" i="12"/>
  <c r="B21" i="12" s="1"/>
  <c r="H21" i="12"/>
  <c r="D21" i="12"/>
  <c r="C21" i="12"/>
  <c r="A21" i="12"/>
  <c r="H20" i="12"/>
  <c r="D20" i="12"/>
  <c r="C20" i="12"/>
  <c r="A20" i="12"/>
  <c r="AH19" i="12"/>
  <c r="B19" i="12" s="1"/>
  <c r="H19" i="12"/>
  <c r="D19" i="12"/>
  <c r="C19" i="12"/>
  <c r="A19" i="12"/>
  <c r="AH18" i="12"/>
  <c r="B18" i="12" s="1"/>
  <c r="H18" i="12"/>
  <c r="D18" i="12"/>
  <c r="C18" i="12"/>
  <c r="A18" i="12"/>
  <c r="AH17" i="12"/>
  <c r="B17" i="12" s="1"/>
  <c r="H17" i="12"/>
  <c r="D17" i="12"/>
  <c r="C17" i="12"/>
  <c r="A17" i="12"/>
  <c r="AH16" i="12"/>
  <c r="H16" i="12"/>
  <c r="D16" i="12"/>
  <c r="C16" i="12"/>
  <c r="B16" i="12"/>
  <c r="A16" i="12"/>
  <c r="B15" i="12"/>
  <c r="H15" i="12"/>
  <c r="D15" i="12"/>
  <c r="C15" i="12"/>
  <c r="A15" i="12"/>
  <c r="AH14" i="12"/>
  <c r="B14" i="12" s="1"/>
  <c r="H14" i="12"/>
  <c r="D14" i="12"/>
  <c r="C14" i="12"/>
  <c r="A14" i="12"/>
  <c r="AH13" i="12"/>
  <c r="B13" i="12" s="1"/>
  <c r="H13" i="12"/>
  <c r="D13" i="12"/>
  <c r="C13" i="12"/>
  <c r="A13" i="12"/>
  <c r="AH12" i="12"/>
  <c r="B12" i="12" s="1"/>
  <c r="H12" i="12"/>
  <c r="D12" i="12"/>
  <c r="C12" i="12"/>
  <c r="A12" i="12"/>
  <c r="AH11" i="12"/>
  <c r="B11" i="12" s="1"/>
  <c r="H11" i="12"/>
  <c r="D11" i="12"/>
  <c r="C11" i="12"/>
  <c r="A11" i="12"/>
  <c r="AH10" i="12"/>
  <c r="B10" i="12"/>
  <c r="H10" i="12"/>
  <c r="D10" i="12"/>
  <c r="C10" i="12"/>
  <c r="A10" i="12"/>
  <c r="AH9" i="12"/>
  <c r="B9" i="12" s="1"/>
  <c r="H9" i="12"/>
  <c r="D9" i="12"/>
  <c r="C9" i="12"/>
  <c r="A9" i="12"/>
  <c r="AH8" i="12"/>
  <c r="B8" i="12" s="1"/>
  <c r="H8" i="12"/>
  <c r="D8" i="12"/>
  <c r="C8" i="12"/>
  <c r="A8" i="12"/>
  <c r="AH7" i="12"/>
  <c r="B7" i="12" s="1"/>
  <c r="H7" i="12"/>
  <c r="D7" i="12"/>
  <c r="C7" i="12"/>
  <c r="A7" i="12"/>
  <c r="AH6" i="12"/>
  <c r="B6" i="12" s="1"/>
  <c r="H6" i="12"/>
  <c r="D6" i="12"/>
  <c r="C6" i="12"/>
  <c r="A6" i="12"/>
  <c r="AH5" i="12"/>
  <c r="B5" i="12" s="1"/>
  <c r="H5" i="12"/>
  <c r="D5" i="12"/>
  <c r="C5" i="12"/>
  <c r="A5" i="12"/>
  <c r="AH4" i="12"/>
  <c r="B4" i="12" s="1"/>
  <c r="H4" i="12"/>
  <c r="D4" i="12"/>
  <c r="C4" i="12"/>
  <c r="A4" i="12"/>
  <c r="AH3" i="12"/>
  <c r="B3" i="12" s="1"/>
  <c r="D3" i="12"/>
  <c r="C3" i="12"/>
  <c r="A3" i="12"/>
  <c r="AH2" i="12"/>
  <c r="D2" i="12"/>
  <c r="C2" i="12"/>
  <c r="B2" i="12"/>
  <c r="A2" i="12"/>
</calcChain>
</file>

<file path=xl/sharedStrings.xml><?xml version="1.0" encoding="utf-8"?>
<sst xmlns="http://schemas.openxmlformats.org/spreadsheetml/2006/main" count="5063" uniqueCount="598">
  <si>
    <t>标题</t>
    <phoneticPr fontId="6" type="noConversion"/>
  </si>
  <si>
    <t>内容</t>
    <phoneticPr fontId="6" type="noConversion"/>
  </si>
  <si>
    <t>附件</t>
    <phoneticPr fontId="6" type="noConversion"/>
  </si>
  <si>
    <t>收件人</t>
    <phoneticPr fontId="6" type="noConversion"/>
  </si>
  <si>
    <t>抄送人</t>
    <phoneticPr fontId="6" type="noConversion"/>
  </si>
  <si>
    <t>区域</t>
  </si>
  <si>
    <t>区域</t>
    <phoneticPr fontId="6" type="noConversion"/>
  </si>
  <si>
    <t>测试</t>
    <phoneticPr fontId="6" type="noConversion"/>
  </si>
  <si>
    <t>联系电话</t>
  </si>
  <si>
    <t>备注</t>
    <phoneticPr fontId="10" type="noConversion"/>
  </si>
  <si>
    <t>程良明</t>
  </si>
  <si>
    <t>chenglm@inspur.com</t>
  </si>
  <si>
    <t>陈昌浩</t>
    <phoneticPr fontId="10" type="noConversion"/>
  </si>
  <si>
    <t>chenchh@inspur.com</t>
    <phoneticPr fontId="10" type="noConversion"/>
  </si>
  <si>
    <t>孙海波</t>
  </si>
  <si>
    <t>sunhb@inspur.com</t>
  </si>
  <si>
    <t>刘勇</t>
  </si>
  <si>
    <t>liu.yong@inspur.com</t>
  </si>
  <si>
    <t>李新</t>
  </si>
  <si>
    <t>lixin@inspur.com</t>
  </si>
  <si>
    <t>秦陈</t>
    <phoneticPr fontId="10" type="noConversion"/>
  </si>
  <si>
    <t>qinchen@inspur.com</t>
  </si>
  <si>
    <t>李恒伟</t>
  </si>
  <si>
    <t>lihengwei@inspur.com</t>
  </si>
  <si>
    <t>张大成</t>
  </si>
  <si>
    <t>zhangdch@inspur.com</t>
  </si>
  <si>
    <t>胡君</t>
  </si>
  <si>
    <t>hujun@inspur.com</t>
  </si>
  <si>
    <t>韩成轩</t>
  </si>
  <si>
    <t>hanchx@inspur.com</t>
  </si>
  <si>
    <t>田元生</t>
  </si>
  <si>
    <t>tianysh@inspur.com</t>
  </si>
  <si>
    <t>张李智</t>
  </si>
  <si>
    <t>zhanglzh@inspur.com</t>
  </si>
  <si>
    <t>宋若翔</t>
  </si>
  <si>
    <t>songrx@inspur.com</t>
  </si>
  <si>
    <t>宫明祥</t>
  </si>
  <si>
    <t>gongmx@inspur.com</t>
  </si>
  <si>
    <t>王宁军</t>
  </si>
  <si>
    <t>wangnj@inspur.com</t>
  </si>
  <si>
    <t>张革</t>
  </si>
  <si>
    <t>zhangge@inspur.com</t>
  </si>
  <si>
    <t>纪磊</t>
  </si>
  <si>
    <t>jilei@inspur.com</t>
  </si>
  <si>
    <t>曹江阳</t>
  </si>
  <si>
    <t>caojiangyang@inspur.com</t>
  </si>
  <si>
    <t>孙业志</t>
  </si>
  <si>
    <t>sunyzh@inspur.com</t>
  </si>
  <si>
    <t>王闰生</t>
  </si>
  <si>
    <t>wangrsh@inspur.com</t>
  </si>
  <si>
    <t>崔建明</t>
  </si>
  <si>
    <t>cuijm@inspur.com</t>
  </si>
  <si>
    <t>郑昕</t>
  </si>
  <si>
    <t>zhengxin@inspur.com</t>
  </si>
  <si>
    <t>辛江龙</t>
  </si>
  <si>
    <t>xinjl@inspur.com</t>
  </si>
  <si>
    <t>孙庆弟</t>
    <phoneticPr fontId="10" type="noConversion"/>
  </si>
  <si>
    <t>sunqd@inspur.com</t>
    <phoneticPr fontId="6" type="noConversion"/>
  </si>
  <si>
    <t>张永利</t>
    <phoneticPr fontId="6" type="noConversion"/>
  </si>
  <si>
    <t>zhangyongli@inspur.com</t>
    <phoneticPr fontId="6" type="noConversion"/>
  </si>
  <si>
    <t>徐军栋</t>
    <phoneticPr fontId="6" type="noConversion"/>
  </si>
  <si>
    <t>xujd@inspur.com</t>
    <phoneticPr fontId="6" type="noConversion"/>
  </si>
  <si>
    <t>岗位</t>
  </si>
  <si>
    <t>手机号码</t>
  </si>
  <si>
    <t>邮箱</t>
  </si>
  <si>
    <t>山东</t>
  </si>
  <si>
    <t>销售管理处</t>
  </si>
  <si>
    <t>广东</t>
  </si>
  <si>
    <t>综合管理部</t>
  </si>
  <si>
    <t>siyj@inspur.com</t>
  </si>
  <si>
    <t>江苏</t>
  </si>
  <si>
    <t>北京</t>
  </si>
  <si>
    <t>河南</t>
  </si>
  <si>
    <t>综合管理部经理</t>
  </si>
  <si>
    <t>湖北</t>
  </si>
  <si>
    <t>安徽</t>
  </si>
  <si>
    <t>hongyuan@inspur.com</t>
  </si>
  <si>
    <t>甘肃</t>
  </si>
  <si>
    <t>zhuyl@inspur.com</t>
  </si>
  <si>
    <t>山西</t>
  </si>
  <si>
    <t>综合管理处经理</t>
  </si>
  <si>
    <t>四川</t>
  </si>
  <si>
    <t>江西</t>
  </si>
  <si>
    <t>河北</t>
  </si>
  <si>
    <t>黑龙江</t>
  </si>
  <si>
    <t>陕西</t>
  </si>
  <si>
    <t>guojiao@inspur.com</t>
  </si>
  <si>
    <t>上海</t>
  </si>
  <si>
    <t>zhangyingchao@inspur.com</t>
  </si>
  <si>
    <t>新疆</t>
  </si>
  <si>
    <t>chengss@inspur.com</t>
  </si>
  <si>
    <t>dingjiao@inspur.com</t>
  </si>
  <si>
    <t>重庆</t>
  </si>
  <si>
    <t>haoling@inspur.com</t>
  </si>
  <si>
    <t>辽宁</t>
  </si>
  <si>
    <t>dongjh@inspur.com</t>
  </si>
  <si>
    <t>湖南</t>
  </si>
  <si>
    <t>huyj@inspur.com</t>
  </si>
  <si>
    <t>云南</t>
  </si>
  <si>
    <t>guowj@inspur.com</t>
  </si>
  <si>
    <t>福建</t>
  </si>
  <si>
    <t>yujingfj@inspur.com</t>
  </si>
  <si>
    <t>吉林</t>
  </si>
  <si>
    <t>浙江</t>
  </si>
  <si>
    <t>benhy@insur.com</t>
  </si>
  <si>
    <t>广西</t>
  </si>
  <si>
    <t>chenshl@inspur.com</t>
  </si>
  <si>
    <t>贵州</t>
  </si>
  <si>
    <t>fuyx@inspur.com</t>
  </si>
  <si>
    <t>宁夏</t>
  </si>
  <si>
    <t>hanmin@insur.com</t>
  </si>
  <si>
    <t>青海</t>
  </si>
  <si>
    <t>yangxueli@inspur.com</t>
  </si>
  <si>
    <t>省</t>
  </si>
  <si>
    <t>海南</t>
  </si>
  <si>
    <t>天津</t>
  </si>
  <si>
    <t>天津</t>
    <phoneticPr fontId="6" type="noConversion"/>
  </si>
  <si>
    <t>内蒙古</t>
    <phoneticPr fontId="6" type="noConversion"/>
  </si>
  <si>
    <t>云南</t>
    <phoneticPr fontId="6" type="noConversion"/>
  </si>
  <si>
    <t>吉林</t>
    <phoneticPr fontId="6" type="noConversion"/>
  </si>
  <si>
    <t>贵州</t>
    <phoneticPr fontId="6" type="noConversion"/>
  </si>
  <si>
    <t>重庆</t>
    <phoneticPr fontId="6" type="noConversion"/>
  </si>
  <si>
    <t>广西</t>
    <phoneticPr fontId="6" type="noConversion"/>
  </si>
  <si>
    <t>新疆</t>
    <phoneticPr fontId="6" type="noConversion"/>
  </si>
  <si>
    <t>福建</t>
    <phoneticPr fontId="6" type="noConversion"/>
  </si>
  <si>
    <t>辽宁</t>
    <phoneticPr fontId="6" type="noConversion"/>
  </si>
  <si>
    <t>江西</t>
    <phoneticPr fontId="6" type="noConversion"/>
  </si>
  <si>
    <t>甘肃</t>
    <phoneticPr fontId="6" type="noConversion"/>
  </si>
  <si>
    <t>湖南</t>
    <phoneticPr fontId="6" type="noConversion"/>
  </si>
  <si>
    <t>黑龙江</t>
    <phoneticPr fontId="6" type="noConversion"/>
  </si>
  <si>
    <t>陕西</t>
    <phoneticPr fontId="6" type="noConversion"/>
  </si>
  <si>
    <t>河北</t>
    <phoneticPr fontId="6" type="noConversion"/>
  </si>
  <si>
    <t>山西</t>
    <phoneticPr fontId="6" type="noConversion"/>
  </si>
  <si>
    <t>上海</t>
    <phoneticPr fontId="6" type="noConversion"/>
  </si>
  <si>
    <t>湖北</t>
    <phoneticPr fontId="6" type="noConversion"/>
  </si>
  <si>
    <t>安徽</t>
    <phoneticPr fontId="6" type="noConversion"/>
  </si>
  <si>
    <t>河南</t>
    <phoneticPr fontId="6" type="noConversion"/>
  </si>
  <si>
    <t>四川</t>
    <phoneticPr fontId="6" type="noConversion"/>
  </si>
  <si>
    <t>北京</t>
    <phoneticPr fontId="6" type="noConversion"/>
  </si>
  <si>
    <t>江苏</t>
    <phoneticPr fontId="6" type="noConversion"/>
  </si>
  <si>
    <t>区域</t>
    <phoneticPr fontId="10" type="noConversion"/>
  </si>
  <si>
    <t>岗位</t>
    <phoneticPr fontId="10" type="noConversion"/>
  </si>
  <si>
    <t>邮箱</t>
    <phoneticPr fontId="10" type="noConversion"/>
  </si>
  <si>
    <t>软件产品总</t>
  </si>
  <si>
    <t>隋克云</t>
    <phoneticPr fontId="12" type="noConversion"/>
  </si>
  <si>
    <t>suiky@inspur.com</t>
    <phoneticPr fontId="12" type="noConversion"/>
  </si>
  <si>
    <t>毛宪阳</t>
    <phoneticPr fontId="12" type="noConversion"/>
  </si>
  <si>
    <t>梁林</t>
  </si>
  <si>
    <t>江跃</t>
    <phoneticPr fontId="12" type="noConversion"/>
  </si>
  <si>
    <t>苗凯</t>
  </si>
  <si>
    <t>赵伟伟</t>
    <phoneticPr fontId="6" type="noConversion"/>
  </si>
  <si>
    <t>轩辕广跃</t>
    <phoneticPr fontId="6" type="noConversion"/>
  </si>
  <si>
    <t>魏传英</t>
    <phoneticPr fontId="12" type="noConversion"/>
  </si>
  <si>
    <t>涂画</t>
    <phoneticPr fontId="6" type="noConversion"/>
  </si>
  <si>
    <t>郭宏</t>
    <phoneticPr fontId="6" type="noConversion"/>
  </si>
  <si>
    <t>宋宁</t>
    <phoneticPr fontId="12" type="noConversion"/>
  </si>
  <si>
    <t>云服务总</t>
    <phoneticPr fontId="10" type="noConversion"/>
  </si>
  <si>
    <t>商务姓名</t>
    <phoneticPr fontId="6" type="noConversion"/>
  </si>
  <si>
    <t>区总</t>
    <phoneticPr fontId="6" type="noConversion"/>
  </si>
  <si>
    <t>备注</t>
    <phoneticPr fontId="6" type="noConversion"/>
  </si>
  <si>
    <t>综合管理处经理、销售管理处</t>
    <phoneticPr fontId="6" type="noConversion"/>
  </si>
  <si>
    <t>13820868967、18202279928</t>
    <phoneticPr fontId="6" type="noConversion"/>
  </si>
  <si>
    <t>panjie@inspur.com;wangmiaom@inspur.com</t>
  </si>
  <si>
    <t>宁夏</t>
    <phoneticPr fontId="6" type="noConversion"/>
  </si>
  <si>
    <t>青海</t>
    <phoneticPr fontId="6" type="noConversion"/>
  </si>
  <si>
    <t>云服务总</t>
    <phoneticPr fontId="6" type="noConversion"/>
  </si>
  <si>
    <t>靳雷</t>
    <phoneticPr fontId="6" type="noConversion"/>
  </si>
  <si>
    <t>xygy@inspur.com</t>
    <phoneticPr fontId="12" type="noConversion"/>
  </si>
  <si>
    <t>weichy@inspur.com</t>
    <phoneticPr fontId="12" type="noConversion"/>
  </si>
  <si>
    <t>ma-chao@inspur.com</t>
    <phoneticPr fontId="12" type="noConversion"/>
  </si>
  <si>
    <t>maoxy@inspur.com</t>
    <phoneticPr fontId="12" type="noConversion"/>
  </si>
  <si>
    <t>lianglin@inspur.com</t>
    <phoneticPr fontId="12" type="noConversion"/>
  </si>
  <si>
    <t>jinlei@inspur.com</t>
    <phoneticPr fontId="12" type="noConversion"/>
  </si>
  <si>
    <t>songning@inspur.com</t>
    <phoneticPr fontId="12" type="noConversion"/>
  </si>
  <si>
    <t>测试</t>
    <phoneticPr fontId="12" type="noConversion"/>
  </si>
  <si>
    <t>zhuln@inspur.com</t>
  </si>
  <si>
    <t>feily@inspur.com</t>
  </si>
  <si>
    <t>pengmin@inspur.com</t>
  </si>
  <si>
    <t>suyj@inspur.com</t>
  </si>
  <si>
    <t>liuff@inspur.com</t>
  </si>
  <si>
    <t>guohui@inspur.com</t>
  </si>
  <si>
    <t>YANG_LI@INSPUR.COM</t>
  </si>
  <si>
    <t>suting@inspur.com</t>
  </si>
  <si>
    <t/>
  </si>
  <si>
    <t>沈飞宏</t>
    <phoneticPr fontId="12" type="noConversion"/>
  </si>
  <si>
    <t>Andre</t>
  </si>
  <si>
    <t>Andre</t>
    <phoneticPr fontId="12" type="noConversion"/>
  </si>
  <si>
    <t>chenweinm@inspur.com</t>
    <phoneticPr fontId="12" type="noConversion"/>
  </si>
  <si>
    <t>发送标记</t>
    <phoneticPr fontId="12" type="noConversion"/>
  </si>
  <si>
    <t>包成轩</t>
    <phoneticPr fontId="12" type="noConversion"/>
  </si>
  <si>
    <t>周奕君</t>
  </si>
  <si>
    <t>许文君</t>
    <phoneticPr fontId="6" type="noConversion"/>
  </si>
  <si>
    <t>曹蜜</t>
    <phoneticPr fontId="6" type="noConversion"/>
  </si>
  <si>
    <t>廖婵</t>
    <phoneticPr fontId="6" type="noConversion"/>
  </si>
  <si>
    <t>电话销售部</t>
  </si>
  <si>
    <t>区域发展部</t>
    <phoneticPr fontId="6" type="noConversion"/>
  </si>
  <si>
    <t>王娇</t>
    <phoneticPr fontId="6" type="noConversion"/>
  </si>
  <si>
    <t>政法行业部</t>
    <phoneticPr fontId="6" type="noConversion"/>
  </si>
  <si>
    <t>党政教育行业部</t>
    <phoneticPr fontId="6" type="noConversion"/>
  </si>
  <si>
    <t>健康监管行业部</t>
    <phoneticPr fontId="6" type="noConversion"/>
  </si>
  <si>
    <t>能源交通行业部</t>
    <phoneticPr fontId="6" type="noConversion"/>
  </si>
  <si>
    <t>特种行业部</t>
    <phoneticPr fontId="6" type="noConversion"/>
  </si>
  <si>
    <t>通信行业部</t>
  </si>
  <si>
    <t>金融行业部</t>
  </si>
  <si>
    <t>互联网行业部</t>
  </si>
  <si>
    <t>内蒙</t>
    <phoneticPr fontId="6" type="noConversion"/>
  </si>
  <si>
    <t>西藏</t>
    <phoneticPr fontId="6" type="noConversion"/>
  </si>
  <si>
    <t>王山</t>
    <phoneticPr fontId="6" type="noConversion"/>
  </si>
  <si>
    <t>唐红</t>
    <phoneticPr fontId="6" type="noConversion"/>
  </si>
  <si>
    <t>张琳</t>
    <phoneticPr fontId="6" type="noConversion"/>
  </si>
  <si>
    <t>刘志玉</t>
    <phoneticPr fontId="6" type="noConversion"/>
  </si>
  <si>
    <t>陈方园</t>
    <phoneticPr fontId="6" type="noConversion"/>
  </si>
  <si>
    <t>王金萍</t>
    <phoneticPr fontId="6" type="noConversion"/>
  </si>
  <si>
    <t>张婷</t>
    <phoneticPr fontId="6" type="noConversion"/>
  </si>
  <si>
    <t>孙熙超</t>
    <phoneticPr fontId="6" type="noConversion"/>
  </si>
  <si>
    <t>阚河香</t>
    <phoneticPr fontId="6" type="noConversion"/>
  </si>
  <si>
    <t>张琳君</t>
    <phoneticPr fontId="6" type="noConversion"/>
  </si>
  <si>
    <t>zhou_yj@inspur.com</t>
  </si>
  <si>
    <t>xuwenjun@inspur.com</t>
  </si>
  <si>
    <t>liaoc@inspur.com</t>
  </si>
  <si>
    <t>wangmx@inspur.com</t>
  </si>
  <si>
    <t>wangyanling@inspur.com</t>
  </si>
  <si>
    <t>wangmiaom@inspur.com</t>
  </si>
  <si>
    <t>zhanglinfj@inspur.com</t>
  </si>
  <si>
    <t>zhangxiaohong@inspur.com</t>
  </si>
  <si>
    <t>wangjiao@inspur.com</t>
  </si>
  <si>
    <t>liuzhiyu@inspur.com</t>
  </si>
  <si>
    <t>chenfy@inspur.com</t>
  </si>
  <si>
    <t>wangjinping@inspur.com</t>
  </si>
  <si>
    <t>tingzhang@inspur.com</t>
  </si>
  <si>
    <t>sunxch@inspur.com</t>
  </si>
  <si>
    <t>kanhx@inspur.com</t>
  </si>
  <si>
    <t>li-xiaojing@inspur.com</t>
  </si>
  <si>
    <t>zhanglinjun@inspur.com</t>
  </si>
  <si>
    <t>thz@inspur.com</t>
    <phoneticPr fontId="6" type="noConversion"/>
  </si>
  <si>
    <t>田红涛</t>
    <phoneticPr fontId="6" type="noConversion"/>
  </si>
  <si>
    <t>石勇</t>
    <phoneticPr fontId="6" type="noConversion"/>
  </si>
  <si>
    <t>胡顺杰</t>
    <phoneticPr fontId="6" type="noConversion"/>
  </si>
  <si>
    <t>庞松涛</t>
    <phoneticPr fontId="6" type="noConversion"/>
  </si>
  <si>
    <t>房伟</t>
    <phoneticPr fontId="6" type="noConversion"/>
  </si>
  <si>
    <t>胡海根</t>
    <phoneticPr fontId="6" type="noConversion"/>
  </si>
  <si>
    <t>赵俊</t>
    <phoneticPr fontId="6" type="noConversion"/>
  </si>
  <si>
    <t>李元军</t>
    <phoneticPr fontId="6" type="noConversion"/>
  </si>
  <si>
    <t>商务姓名2</t>
    <phoneticPr fontId="6" type="noConversion"/>
  </si>
  <si>
    <t>邮箱</t>
    <phoneticPr fontId="6" type="noConversion"/>
  </si>
  <si>
    <t>固定抄送</t>
    <phoneticPr fontId="6" type="noConversion"/>
  </si>
  <si>
    <t>kangzp@inspur.com;tangjing@inspur.com;shenfh@inspur.com</t>
    <phoneticPr fontId="6" type="noConversion"/>
  </si>
  <si>
    <t>gaozhm@inspur.com</t>
    <phoneticPr fontId="6" type="noConversion"/>
  </si>
  <si>
    <t>tianht@inspur.com</t>
    <phoneticPr fontId="6" type="noConversion"/>
  </si>
  <si>
    <t>shiyong@inspur.com</t>
    <phoneticPr fontId="6" type="noConversion"/>
  </si>
  <si>
    <t>hushj@inspur.com</t>
    <phoneticPr fontId="6" type="noConversion"/>
  </si>
  <si>
    <t>pangst@inspur.com</t>
    <phoneticPr fontId="6" type="noConversion"/>
  </si>
  <si>
    <t>fangwei@inspur.com</t>
    <phoneticPr fontId="6" type="noConversion"/>
  </si>
  <si>
    <t>zhaojun@inspur.com</t>
    <phoneticPr fontId="6" type="noConversion"/>
  </si>
  <si>
    <t>li.yj@inspur.com</t>
    <phoneticPr fontId="6" type="noConversion"/>
  </si>
  <si>
    <t>aixy@inspur.com</t>
    <phoneticPr fontId="6" type="noConversion"/>
  </si>
  <si>
    <t>云产品总为刘欣</t>
    <phoneticPr fontId="6" type="noConversion"/>
  </si>
  <si>
    <t>wangshan@inspur.com</t>
    <phoneticPr fontId="6" type="noConversion"/>
  </si>
  <si>
    <t>;</t>
    <phoneticPr fontId="6" type="noConversion"/>
  </si>
  <si>
    <t>个别抄送</t>
    <phoneticPr fontId="6" type="noConversion"/>
  </si>
  <si>
    <t>邮箱</t>
    <phoneticPr fontId="6" type="noConversion"/>
  </si>
  <si>
    <t>谈洪波</t>
    <phoneticPr fontId="6" type="noConversion"/>
  </si>
  <si>
    <t>备注</t>
    <phoneticPr fontId="6" type="noConversion"/>
  </si>
  <si>
    <t>电子政务产品线</t>
    <phoneticPr fontId="6" type="noConversion"/>
  </si>
  <si>
    <t>陈乃刚、朱炯</t>
    <phoneticPr fontId="6" type="noConversion"/>
  </si>
  <si>
    <t>zhangxue@inspur.com</t>
    <phoneticPr fontId="6" type="noConversion"/>
  </si>
  <si>
    <t>tanhb@inspur.com</t>
    <phoneticPr fontId="6" type="noConversion"/>
  </si>
  <si>
    <t>chenng@inspur.com;zhujiong@inspur.com</t>
    <phoneticPr fontId="6" type="noConversion"/>
  </si>
  <si>
    <t>庞松涛吩咐</t>
    <phoneticPr fontId="6" type="noConversion"/>
  </si>
  <si>
    <t>2商务及个别抄送邮箱合并</t>
    <phoneticPr fontId="6" type="noConversion"/>
  </si>
  <si>
    <t>山东</t>
    <phoneticPr fontId="6" type="noConversion"/>
  </si>
  <si>
    <t>省份粘贴</t>
    <phoneticPr fontId="6" type="noConversion"/>
  </si>
  <si>
    <t>lixialc@inspur.com</t>
    <phoneticPr fontId="6" type="noConversion"/>
  </si>
  <si>
    <t>姓氏</t>
    <phoneticPr fontId="6" type="noConversion"/>
  </si>
  <si>
    <t>A</t>
  </si>
  <si>
    <t>赵</t>
  </si>
  <si>
    <t>包</t>
  </si>
  <si>
    <t>魏</t>
  </si>
  <si>
    <t>涂</t>
  </si>
  <si>
    <t>隋</t>
  </si>
  <si>
    <t>毛</t>
  </si>
  <si>
    <t>李</t>
  </si>
  <si>
    <t>郭</t>
  </si>
  <si>
    <t>梁</t>
  </si>
  <si>
    <t>江</t>
  </si>
  <si>
    <t>靳</t>
  </si>
  <si>
    <t>宋</t>
  </si>
  <si>
    <t>唐</t>
  </si>
  <si>
    <t>朱</t>
  </si>
  <si>
    <t>轩辕</t>
    <phoneticPr fontId="6" type="noConversion"/>
  </si>
  <si>
    <t>分号</t>
    <phoneticPr fontId="6" type="noConversion"/>
  </si>
  <si>
    <t>邮件正文</t>
    <phoneticPr fontId="6" type="noConversion"/>
  </si>
  <si>
    <t>总，
      您好! 附件为贵区域/行业本周签单、回款数据，请查阅。如有异议及时反馈。
            云服务集团市场部</t>
    <phoneticPr fontId="6" type="noConversion"/>
  </si>
  <si>
    <t>梁伟钢</t>
    <phoneticPr fontId="6" type="noConversion"/>
  </si>
  <si>
    <t>梁</t>
    <phoneticPr fontId="6" type="noConversion"/>
  </si>
  <si>
    <t>liupf@inspur.com</t>
    <phoneticPr fontId="6" type="noConversion"/>
  </si>
  <si>
    <t>chengt@inspur.com</t>
    <phoneticPr fontId="12" type="noConversion"/>
  </si>
  <si>
    <t>陈广涛</t>
    <phoneticPr fontId="6" type="noConversion"/>
  </si>
  <si>
    <t>陈</t>
    <phoneticPr fontId="6" type="noConversion"/>
  </si>
  <si>
    <t>shenfh@inspur.com</t>
    <phoneticPr fontId="12" type="noConversion"/>
  </si>
  <si>
    <t>miaokai@inspur.com</t>
  </si>
  <si>
    <t>电话</t>
    <phoneticPr fontId="6" type="noConversion"/>
  </si>
  <si>
    <t>软件产品总</t>
    <phoneticPr fontId="6" type="noConversion"/>
  </si>
  <si>
    <t>李</t>
    <phoneticPr fontId="6" type="noConversion"/>
  </si>
  <si>
    <t>zhaoww@inspur.com</t>
    <phoneticPr fontId="12" type="noConversion"/>
  </si>
  <si>
    <t>baochx@inspur.com</t>
    <phoneticPr fontId="12" type="noConversion"/>
  </si>
  <si>
    <t>tuhua@inspur.com</t>
    <phoneticPr fontId="12" type="noConversion"/>
  </si>
  <si>
    <t>liyu@inspur.com</t>
    <phoneticPr fontId="12" type="noConversion"/>
  </si>
  <si>
    <t>jiangy@inspur.com</t>
    <phoneticPr fontId="12" type="noConversion"/>
  </si>
  <si>
    <t>liangwg@inspur.com</t>
    <phoneticPr fontId="12" type="noConversion"/>
  </si>
  <si>
    <t>tanghong@inspur.com</t>
    <phoneticPr fontId="12" type="noConversion"/>
  </si>
  <si>
    <t>付金涛</t>
    <phoneticPr fontId="6" type="noConversion"/>
  </si>
  <si>
    <t>fujt@inspur.com</t>
    <phoneticPr fontId="6" type="noConversion"/>
  </si>
  <si>
    <t>yumh@inspur.com</t>
    <phoneticPr fontId="6" type="noConversion"/>
  </si>
  <si>
    <t>huhg@inspur.com</t>
    <phoneticPr fontId="6" type="noConversion"/>
  </si>
  <si>
    <t>大企业市场部</t>
    <phoneticPr fontId="6" type="noConversion"/>
  </si>
  <si>
    <t>杨</t>
    <phoneticPr fontId="6" type="noConversion"/>
  </si>
  <si>
    <t>总，
      您好! 附件为贵区域/行业5月签单回款数据、CSG业务揭示及CSG-CRM商机明细，请查阅。如有异议及时反馈。
            云服务集团市场部</t>
    <phoneticPr fontId="6" type="noConversion"/>
  </si>
  <si>
    <t>总，
      您好! 附件为贵区域/行业本周签单/回款数据，请查阅。如有异议及时反馈。
            云服务集团市场部</t>
    <phoneticPr fontId="6" type="noConversion"/>
  </si>
  <si>
    <t>云服务集团5月业务数据</t>
    <phoneticPr fontId="6" type="noConversion"/>
  </si>
  <si>
    <t>刘</t>
    <phoneticPr fontId="6" type="noConversion"/>
  </si>
  <si>
    <t>马超</t>
    <phoneticPr fontId="6" type="noConversion"/>
  </si>
  <si>
    <t>原云服务经理</t>
    <phoneticPr fontId="6" type="noConversion"/>
  </si>
  <si>
    <t>liuxinhb@inspur.com</t>
    <phoneticPr fontId="12" type="noConversion"/>
  </si>
  <si>
    <t>刘欣</t>
    <phoneticPr fontId="12" type="noConversion"/>
  </si>
  <si>
    <t>jingyx@inspur.com</t>
    <phoneticPr fontId="6" type="noConversion"/>
  </si>
  <si>
    <t>井永利</t>
    <phoneticPr fontId="10" type="noConversion"/>
  </si>
  <si>
    <t>井</t>
    <phoneticPr fontId="6" type="noConversion"/>
  </si>
  <si>
    <t>虞静（产假）</t>
    <phoneticPr fontId="6" type="noConversion"/>
  </si>
  <si>
    <t>wengxl@inspur.com</t>
  </si>
  <si>
    <t>智国骅</t>
    <phoneticPr fontId="6" type="noConversion"/>
  </si>
  <si>
    <t>云产品总</t>
    <phoneticPr fontId="6" type="noConversion"/>
  </si>
  <si>
    <t>智</t>
    <phoneticPr fontId="6" type="noConversion"/>
  </si>
  <si>
    <t>陈伟</t>
    <phoneticPr fontId="12" type="noConversion"/>
  </si>
  <si>
    <t>guohong@inspur.com</t>
    <phoneticPr fontId="12" type="noConversion"/>
  </si>
  <si>
    <t>刘</t>
    <phoneticPr fontId="6" type="noConversion"/>
  </si>
  <si>
    <t>健康监管行业部</t>
  </si>
  <si>
    <t>suncht@inspur.com</t>
    <phoneticPr fontId="6" type="noConversion"/>
  </si>
  <si>
    <t>孙成通</t>
    <phoneticPr fontId="6" type="noConversion"/>
  </si>
  <si>
    <t>liyz@inspur.com</t>
    <phoneticPr fontId="6" type="noConversion"/>
  </si>
  <si>
    <t>李衍珠</t>
  </si>
  <si>
    <t>李</t>
    <phoneticPr fontId="6" type="noConversion"/>
  </si>
  <si>
    <t>gaozhenqi@inspur.com</t>
    <phoneticPr fontId="6" type="noConversion"/>
  </si>
  <si>
    <t>龙</t>
    <phoneticPr fontId="6" type="noConversion"/>
  </si>
  <si>
    <t>longqi@inspur.com</t>
    <phoneticPr fontId="12" type="noConversion"/>
  </si>
  <si>
    <t>云服务总</t>
    <phoneticPr fontId="6" type="noConversion"/>
  </si>
  <si>
    <t>李雨</t>
    <phoneticPr fontId="12" type="noConversion"/>
  </si>
  <si>
    <t>龙琦</t>
    <phoneticPr fontId="12" type="noConversion"/>
  </si>
  <si>
    <t>baoqh@inspur.com</t>
  </si>
  <si>
    <t>鲍清华</t>
    <phoneticPr fontId="6" type="noConversion"/>
  </si>
  <si>
    <t>综合管理部经理</t>
    <phoneticPr fontId="6" type="noConversion"/>
  </si>
  <si>
    <t>许国彬</t>
  </si>
  <si>
    <t>xuguobin@inspur.com</t>
  </si>
  <si>
    <t>刘刚</t>
  </si>
  <si>
    <t>liu_gang@inspur.com</t>
  </si>
  <si>
    <t>liumengfang@inspur.com</t>
    <phoneticPr fontId="6" type="noConversion"/>
  </si>
  <si>
    <t>刘孟方</t>
    <phoneticPr fontId="6" type="noConversion"/>
  </si>
  <si>
    <t>软件产品总</t>
    <phoneticPr fontId="6" type="noConversion"/>
  </si>
  <si>
    <t>饶苏梅</t>
    <phoneticPr fontId="12" type="noConversion"/>
  </si>
  <si>
    <t>饶</t>
    <phoneticPr fontId="6" type="noConversion"/>
  </si>
  <si>
    <t>raosm@inspur.com</t>
    <phoneticPr fontId="12" type="noConversion"/>
  </si>
  <si>
    <t>zhigh@inspur.com</t>
    <phoneticPr fontId="6" type="noConversion"/>
  </si>
  <si>
    <t>谈洪波</t>
    <phoneticPr fontId="6" type="noConversion"/>
  </si>
  <si>
    <t>谈</t>
    <phoneticPr fontId="6" type="noConversion"/>
  </si>
  <si>
    <t>tanhb@inspur.com</t>
    <phoneticPr fontId="12" type="noConversion"/>
  </si>
  <si>
    <t>山东区</t>
  </si>
  <si>
    <t>广东区</t>
  </si>
  <si>
    <t>江苏区</t>
  </si>
  <si>
    <t>北京区</t>
  </si>
  <si>
    <t>四川区</t>
  </si>
  <si>
    <t>河南区</t>
  </si>
  <si>
    <t>安徽区</t>
  </si>
  <si>
    <t>湖北区</t>
  </si>
  <si>
    <t>上海区</t>
  </si>
  <si>
    <t>山西区</t>
  </si>
  <si>
    <t>河北区</t>
  </si>
  <si>
    <t>陕西区</t>
  </si>
  <si>
    <t>黑龙江区</t>
  </si>
  <si>
    <t>湖南区</t>
  </si>
  <si>
    <t>甘肃区</t>
  </si>
  <si>
    <t>江西区</t>
  </si>
  <si>
    <t>天津区</t>
  </si>
  <si>
    <t>内蒙古区</t>
  </si>
  <si>
    <t>辽宁区</t>
  </si>
  <si>
    <t>福建区</t>
  </si>
  <si>
    <t>新疆区</t>
  </si>
  <si>
    <t>广西区</t>
  </si>
  <si>
    <t>重庆区</t>
  </si>
  <si>
    <t>浙江区</t>
  </si>
  <si>
    <t>贵州区</t>
  </si>
  <si>
    <t>吉林区</t>
  </si>
  <si>
    <t>云南区</t>
  </si>
  <si>
    <t>海南区</t>
  </si>
  <si>
    <t>宁夏区</t>
  </si>
  <si>
    <t>青海区</t>
  </si>
  <si>
    <t>西藏区</t>
  </si>
  <si>
    <t>邓鹏飞</t>
  </si>
  <si>
    <t>dengpf@inspur.com</t>
  </si>
  <si>
    <t>云服务总</t>
  </si>
  <si>
    <t>邓</t>
    <phoneticPr fontId="6" type="noConversion"/>
  </si>
  <si>
    <t>caomi@inspur.com;dumenglan@inspur.com</t>
    <phoneticPr fontId="6" type="noConversion"/>
  </si>
  <si>
    <t>yangxubin@inspur.com</t>
    <phoneticPr fontId="6" type="noConversion"/>
  </si>
  <si>
    <t>杨绪宾</t>
    <phoneticPr fontId="6" type="noConversion"/>
  </si>
  <si>
    <t>杨</t>
    <phoneticPr fontId="6" type="noConversion"/>
  </si>
  <si>
    <t>yanglei-sh@inspur.com</t>
    <phoneticPr fontId="12" type="noConversion"/>
  </si>
  <si>
    <t>杨雷</t>
    <phoneticPr fontId="6" type="noConversion"/>
  </si>
  <si>
    <t>杨</t>
    <phoneticPr fontId="6" type="noConversion"/>
  </si>
  <si>
    <t>娄鹏</t>
    <phoneticPr fontId="12" type="noConversion"/>
  </si>
  <si>
    <t>娄</t>
    <phoneticPr fontId="6" type="noConversion"/>
  </si>
  <si>
    <t>loupeng@inspur.com</t>
    <phoneticPr fontId="12" type="noConversion"/>
  </si>
  <si>
    <t>大企业市场部</t>
    <phoneticPr fontId="6" type="noConversion"/>
  </si>
  <si>
    <t>建筑行业部</t>
    <phoneticPr fontId="6" type="noConversion"/>
  </si>
  <si>
    <t>郑大卫</t>
    <phoneticPr fontId="6" type="noConversion"/>
  </si>
  <si>
    <t>郑</t>
    <phoneticPr fontId="6" type="noConversion"/>
  </si>
  <si>
    <t>zhengdw@inspur.com</t>
    <phoneticPr fontId="6" type="noConversion"/>
  </si>
  <si>
    <t>康凯</t>
    <phoneticPr fontId="6" type="noConversion"/>
  </si>
  <si>
    <t>kangkai@inspur.com</t>
    <phoneticPr fontId="6" type="noConversion"/>
  </si>
  <si>
    <t>孙清超</t>
    <phoneticPr fontId="6" type="noConversion"/>
  </si>
  <si>
    <t>sunqch@inspur.com</t>
    <phoneticPr fontId="6" type="noConversion"/>
  </si>
  <si>
    <t>侯典久</t>
  </si>
  <si>
    <t>侯</t>
    <phoneticPr fontId="6" type="noConversion"/>
  </si>
  <si>
    <t>云服务总</t>
    <phoneticPr fontId="12" type="noConversion"/>
  </si>
  <si>
    <t>houdj@inspur.com</t>
    <phoneticPr fontId="12" type="noConversion"/>
  </si>
  <si>
    <t>杨阳</t>
    <phoneticPr fontId="12" type="noConversion"/>
  </si>
  <si>
    <t>杨</t>
    <phoneticPr fontId="6" type="noConversion"/>
  </si>
  <si>
    <t>yangyang1@inspur.com</t>
    <phoneticPr fontId="12" type="noConversion"/>
  </si>
  <si>
    <t>总，
      您好! 附件为贵区域/行业5月签单/回款数据、CSG业务揭示及CSG-CRM商机明细，请查阅。
      CRM商机中标黄部分为错误数据，请各MU进行纠正。如有异议及时反馈。
            云服务集团市场部</t>
    <phoneticPr fontId="6" type="noConversion"/>
  </si>
  <si>
    <t>刘传辉</t>
    <phoneticPr fontId="6" type="noConversion"/>
  </si>
  <si>
    <t>liuchuanhui@inspur.com</t>
    <phoneticPr fontId="6" type="noConversion"/>
  </si>
  <si>
    <t>尤瑞</t>
    <phoneticPr fontId="12" type="noConversion"/>
  </si>
  <si>
    <t>尤</t>
    <phoneticPr fontId="6" type="noConversion"/>
  </si>
  <si>
    <t>yourui@inspur.com</t>
    <phoneticPr fontId="6" type="noConversion"/>
  </si>
  <si>
    <t>云服务集团周报数据</t>
  </si>
  <si>
    <t>朱炯</t>
    <phoneticPr fontId="6" type="noConversion"/>
  </si>
  <si>
    <t>zhujiong@inspur.com</t>
    <phoneticPr fontId="6" type="noConversion"/>
  </si>
  <si>
    <t>区</t>
    <phoneticPr fontId="6" type="noConversion"/>
  </si>
  <si>
    <t>邮箱</t>
    <phoneticPr fontId="6" type="noConversion"/>
  </si>
  <si>
    <t>张林</t>
  </si>
  <si>
    <t>张</t>
  </si>
  <si>
    <t>zhanglinyfw@inspur.com</t>
  </si>
  <si>
    <t>大企业市场部</t>
  </si>
  <si>
    <t>杨革平</t>
    <phoneticPr fontId="6" type="noConversion"/>
  </si>
  <si>
    <t>yanggp@inspur.com</t>
    <phoneticPr fontId="6" type="noConversion"/>
  </si>
  <si>
    <t>山东</t>
    <phoneticPr fontId="6" type="noConversion"/>
  </si>
  <si>
    <t>朱丽娜</t>
    <phoneticPr fontId="6" type="noConversion"/>
  </si>
  <si>
    <t>广东</t>
    <phoneticPr fontId="6" type="noConversion"/>
  </si>
  <si>
    <t>司一静</t>
    <phoneticPr fontId="6" type="noConversion"/>
  </si>
  <si>
    <t>江苏</t>
    <phoneticPr fontId="6" type="noConversion"/>
  </si>
  <si>
    <t>费璐旖</t>
    <phoneticPr fontId="6" type="noConversion"/>
  </si>
  <si>
    <t>北京</t>
    <phoneticPr fontId="6" type="noConversion"/>
  </si>
  <si>
    <t>刘琳</t>
    <phoneticPr fontId="6" type="noConversion"/>
  </si>
  <si>
    <t>四川</t>
    <phoneticPr fontId="6" type="noConversion"/>
  </si>
  <si>
    <t>彭敏</t>
    <phoneticPr fontId="6" type="noConversion"/>
  </si>
  <si>
    <t>河南</t>
    <phoneticPr fontId="6" type="noConversion"/>
  </si>
  <si>
    <t>苏艳娟</t>
    <phoneticPr fontId="6" type="noConversion"/>
  </si>
  <si>
    <t>安徽</t>
    <phoneticPr fontId="6" type="noConversion"/>
  </si>
  <si>
    <t>安徽</t>
    <phoneticPr fontId="6" type="noConversion"/>
  </si>
  <si>
    <t>洪源</t>
    <phoneticPr fontId="6" type="noConversion"/>
  </si>
  <si>
    <t>湖北</t>
    <phoneticPr fontId="6" type="noConversion"/>
  </si>
  <si>
    <t>刘芳菲</t>
    <phoneticPr fontId="6" type="noConversion"/>
  </si>
  <si>
    <t>上海</t>
    <phoneticPr fontId="6" type="noConversion"/>
  </si>
  <si>
    <t>张颖超</t>
    <phoneticPr fontId="6" type="noConversion"/>
  </si>
  <si>
    <t>山西</t>
    <phoneticPr fontId="6" type="noConversion"/>
  </si>
  <si>
    <t>郭慧</t>
    <phoneticPr fontId="6" type="noConversion"/>
  </si>
  <si>
    <t>河北</t>
    <phoneticPr fontId="6" type="noConversion"/>
  </si>
  <si>
    <t>杨丽</t>
    <phoneticPr fontId="6" type="noConversion"/>
  </si>
  <si>
    <t>陕西</t>
    <phoneticPr fontId="6" type="noConversion"/>
  </si>
  <si>
    <t>郭姣</t>
    <phoneticPr fontId="6" type="noConversion"/>
  </si>
  <si>
    <t>黑龙江</t>
    <phoneticPr fontId="6" type="noConversion"/>
  </si>
  <si>
    <t>高祯琦</t>
    <phoneticPr fontId="6" type="noConversion"/>
  </si>
  <si>
    <t>湖南</t>
    <phoneticPr fontId="6" type="noConversion"/>
  </si>
  <si>
    <t>胡苑佳</t>
    <phoneticPr fontId="6" type="noConversion"/>
  </si>
  <si>
    <t>甘肃</t>
    <phoneticPr fontId="6" type="noConversion"/>
  </si>
  <si>
    <t>朱艳丽</t>
    <phoneticPr fontId="6" type="noConversion"/>
  </si>
  <si>
    <t>江西</t>
    <phoneticPr fontId="6" type="noConversion"/>
  </si>
  <si>
    <t>苏婷</t>
    <phoneticPr fontId="6" type="noConversion"/>
  </si>
  <si>
    <t>天津</t>
    <phoneticPr fontId="6" type="noConversion"/>
  </si>
  <si>
    <t>潘婕</t>
    <phoneticPr fontId="6" type="noConversion"/>
  </si>
  <si>
    <t>内蒙古</t>
    <phoneticPr fontId="6" type="noConversion"/>
  </si>
  <si>
    <t>丁姣</t>
    <phoneticPr fontId="6" type="noConversion"/>
  </si>
  <si>
    <t>辽宁</t>
    <phoneticPr fontId="6" type="noConversion"/>
  </si>
  <si>
    <t>董金辉</t>
    <phoneticPr fontId="6" type="noConversion"/>
  </si>
  <si>
    <t>福建</t>
    <phoneticPr fontId="6" type="noConversion"/>
  </si>
  <si>
    <t>翁幸灵</t>
    <phoneticPr fontId="6" type="noConversion"/>
  </si>
  <si>
    <t>新疆</t>
    <phoneticPr fontId="6" type="noConversion"/>
  </si>
  <si>
    <t>程思苏</t>
    <phoneticPr fontId="6" type="noConversion"/>
  </si>
  <si>
    <t>广西</t>
    <phoneticPr fontId="6" type="noConversion"/>
  </si>
  <si>
    <t>陈世兰</t>
    <phoneticPr fontId="6" type="noConversion"/>
  </si>
  <si>
    <t>重庆</t>
    <phoneticPr fontId="6" type="noConversion"/>
  </si>
  <si>
    <t>郝玲</t>
    <phoneticPr fontId="6" type="noConversion"/>
  </si>
  <si>
    <t>浙江</t>
    <phoneticPr fontId="6" type="noConversion"/>
  </si>
  <si>
    <t>贲鸿瑜</t>
    <phoneticPr fontId="6" type="noConversion"/>
  </si>
  <si>
    <t>贵州</t>
    <phoneticPr fontId="6" type="noConversion"/>
  </si>
  <si>
    <t>符雅鑫</t>
    <phoneticPr fontId="6" type="noConversion"/>
  </si>
  <si>
    <t>吉林</t>
    <phoneticPr fontId="6" type="noConversion"/>
  </si>
  <si>
    <t>刘鹏飞</t>
    <phoneticPr fontId="6" type="noConversion"/>
  </si>
  <si>
    <t>云南</t>
    <phoneticPr fontId="6" type="noConversion"/>
  </si>
  <si>
    <t>郭文娟</t>
    <phoneticPr fontId="6" type="noConversion"/>
  </si>
  <si>
    <t>海南</t>
    <phoneticPr fontId="6" type="noConversion"/>
  </si>
  <si>
    <t>海南</t>
    <phoneticPr fontId="6" type="noConversion"/>
  </si>
  <si>
    <t>童海转</t>
    <phoneticPr fontId="6" type="noConversion"/>
  </si>
  <si>
    <t>宁夏</t>
    <phoneticPr fontId="6" type="noConversion"/>
  </si>
  <si>
    <t>韩敏</t>
    <phoneticPr fontId="6" type="noConversion"/>
  </si>
  <si>
    <t>青海</t>
    <phoneticPr fontId="6" type="noConversion"/>
  </si>
  <si>
    <t>杨雪莉</t>
    <phoneticPr fontId="6" type="noConversion"/>
  </si>
  <si>
    <t>西藏</t>
    <phoneticPr fontId="6" type="noConversion"/>
  </si>
  <si>
    <t>艾心怡</t>
    <phoneticPr fontId="6" type="noConversion"/>
  </si>
  <si>
    <t>电话销售部</t>
    <phoneticPr fontId="6" type="noConversion"/>
  </si>
  <si>
    <t>高正民</t>
    <phoneticPr fontId="6" type="noConversion"/>
  </si>
  <si>
    <t>能源交通行业部</t>
    <phoneticPr fontId="6" type="noConversion"/>
  </si>
  <si>
    <t>张雪</t>
    <phoneticPr fontId="6" type="noConversion"/>
  </si>
  <si>
    <t>通信行业部</t>
    <phoneticPr fontId="6" type="noConversion"/>
  </si>
  <si>
    <t>金融行业部</t>
    <phoneticPr fontId="6" type="noConversion"/>
  </si>
  <si>
    <t>互联网行业部</t>
    <phoneticPr fontId="6" type="noConversion"/>
  </si>
  <si>
    <t>李晓晶</t>
    <phoneticPr fontId="6" type="noConversion"/>
  </si>
  <si>
    <t>企业市场部</t>
    <phoneticPr fontId="6" type="noConversion"/>
  </si>
  <si>
    <t>liu_lin@inspur.com</t>
    <phoneticPr fontId="6" type="noConversion"/>
  </si>
  <si>
    <t>曹蜜</t>
    <phoneticPr fontId="6" type="noConversion"/>
  </si>
  <si>
    <t>廖婵</t>
    <phoneticPr fontId="6" type="noConversion"/>
  </si>
  <si>
    <t>王美霞</t>
    <phoneticPr fontId="6" type="noConversion"/>
  </si>
  <si>
    <t>王艳玲</t>
    <phoneticPr fontId="6" type="noConversion"/>
  </si>
  <si>
    <t>王妙妙</t>
    <phoneticPr fontId="6" type="noConversion"/>
  </si>
  <si>
    <t>张琳</t>
    <phoneticPr fontId="6" type="noConversion"/>
  </si>
  <si>
    <t>于美衡</t>
    <phoneticPr fontId="6" type="noConversion"/>
  </si>
  <si>
    <t>李霞</t>
    <phoneticPr fontId="6" type="noConversion"/>
  </si>
  <si>
    <t>张晓红</t>
    <phoneticPr fontId="6" type="noConversion"/>
  </si>
  <si>
    <t>kangll@inspur.com</t>
    <phoneticPr fontId="12" type="noConversion"/>
  </si>
  <si>
    <t>康</t>
    <phoneticPr fontId="6" type="noConversion"/>
  </si>
  <si>
    <t>康琳琳</t>
    <phoneticPr fontId="6" type="noConversion"/>
  </si>
  <si>
    <t>zhangxinjian@inspur.com</t>
    <phoneticPr fontId="6" type="noConversion"/>
  </si>
  <si>
    <t>张新健</t>
    <phoneticPr fontId="6" type="noConversion"/>
  </si>
  <si>
    <t>张</t>
    <phoneticPr fontId="6" type="noConversion"/>
  </si>
  <si>
    <t>叶辉</t>
    <phoneticPr fontId="10" type="noConversion"/>
  </si>
  <si>
    <t>叶</t>
    <phoneticPr fontId="6" type="noConversion"/>
  </si>
  <si>
    <t>ye_hui@inspur.com</t>
    <phoneticPr fontId="6" type="noConversion"/>
  </si>
  <si>
    <t>chiyk@inspur.com;kangzp@inspur.com;tangjing@inspur.com;</t>
    <phoneticPr fontId="6" type="noConversion"/>
  </si>
  <si>
    <t>FY2017CSG目标月度分解通知</t>
    <phoneticPr fontId="6" type="noConversion"/>
  </si>
  <si>
    <t>总，
      您好！截止目前未收到贵单位关于FY2017目标月度分解的确认意见，CSG己按产业分解稿上报集团审核，敬请知悉.
            云服务集团市场部</t>
    <phoneticPr fontId="6" type="noConversion"/>
  </si>
  <si>
    <t>山东区</t>
    <phoneticPr fontId="6" type="noConversion"/>
  </si>
  <si>
    <t>北京区</t>
    <phoneticPr fontId="6" type="noConversion"/>
  </si>
  <si>
    <r>
      <t>总，
      您好! 附件为贵</t>
    </r>
    <r>
      <rPr>
        <sz val="10"/>
        <color theme="1"/>
        <rFont val="微软雅黑"/>
        <family val="2"/>
        <charset val="134"/>
      </rPr>
      <t>单位</t>
    </r>
    <r>
      <rPr>
        <sz val="10"/>
        <color theme="1"/>
        <rFont val="微软雅黑"/>
        <family val="2"/>
        <charset val="134"/>
      </rPr>
      <t>本周的签单/回款数据，请查阅。如有异议及时反馈。
            云服务集团市场部</t>
    </r>
    <phoneticPr fontId="6" type="noConversion"/>
  </si>
  <si>
    <t>安徽区</t>
    <phoneticPr fontId="6" type="noConversion"/>
  </si>
  <si>
    <t>党政教育行业部</t>
    <phoneticPr fontId="6" type="noConversion"/>
  </si>
  <si>
    <t>福建区</t>
    <phoneticPr fontId="6" type="noConversion"/>
  </si>
  <si>
    <t>广东区</t>
    <phoneticPr fontId="6" type="noConversion"/>
  </si>
  <si>
    <t>广西区</t>
    <phoneticPr fontId="6" type="noConversion"/>
  </si>
  <si>
    <t>贵州区</t>
    <phoneticPr fontId="6" type="noConversion"/>
  </si>
  <si>
    <t>河南区</t>
    <phoneticPr fontId="6" type="noConversion"/>
  </si>
  <si>
    <t>黑龙江区</t>
    <phoneticPr fontId="6" type="noConversion"/>
  </si>
  <si>
    <t>湖北区</t>
    <phoneticPr fontId="6" type="noConversion"/>
  </si>
  <si>
    <t>江西区</t>
    <phoneticPr fontId="6" type="noConversion"/>
  </si>
  <si>
    <t>内蒙古区</t>
    <phoneticPr fontId="6" type="noConversion"/>
  </si>
  <si>
    <t>浙江区</t>
    <phoneticPr fontId="6" type="noConversion"/>
  </si>
  <si>
    <t>政法行业部</t>
    <phoneticPr fontId="6" type="noConversion"/>
  </si>
  <si>
    <t>重庆区</t>
    <phoneticPr fontId="6" type="noConversion"/>
  </si>
  <si>
    <t>湖南区</t>
    <phoneticPr fontId="6" type="noConversion"/>
  </si>
  <si>
    <t>宁夏区</t>
    <phoneticPr fontId="6" type="noConversion"/>
  </si>
  <si>
    <t>山西区</t>
    <phoneticPr fontId="6" type="noConversion"/>
  </si>
  <si>
    <t>天津区</t>
    <phoneticPr fontId="6" type="noConversion"/>
  </si>
  <si>
    <t>新疆区</t>
    <phoneticPr fontId="6" type="noConversion"/>
  </si>
  <si>
    <t>;</t>
  </si>
  <si>
    <t>总，
      您好! 附件为贵单位本周的签单/回款数据，请查阅。如有异议及时反馈。
            云服务集团市场部</t>
  </si>
  <si>
    <t>kangzp@inspur.com;tangjing@inspur.com;</t>
    <phoneticPr fontId="6" type="noConversion"/>
  </si>
  <si>
    <t>能源交通行业部</t>
  </si>
  <si>
    <t>特种行业部</t>
  </si>
  <si>
    <t>kangzp@inspur.com;tangjing@inspur.com;</t>
    <phoneticPr fontId="6" type="noConversion"/>
  </si>
  <si>
    <r>
      <t>云服务集团F</t>
    </r>
    <r>
      <rPr>
        <sz val="10"/>
        <color theme="1"/>
        <rFont val="微软雅黑"/>
        <family val="2"/>
        <charset val="134"/>
      </rPr>
      <t>Y2016</t>
    </r>
    <r>
      <rPr>
        <sz val="10"/>
        <color theme="1"/>
        <rFont val="微软雅黑"/>
        <family val="2"/>
        <charset val="134"/>
      </rPr>
      <t>业务数据</t>
    </r>
    <phoneticPr fontId="6" type="noConversion"/>
  </si>
  <si>
    <r>
      <t>总，
      您好! 附件为贵</t>
    </r>
    <r>
      <rPr>
        <sz val="10"/>
        <color theme="1"/>
        <rFont val="微软雅黑"/>
        <family val="2"/>
        <charset val="134"/>
      </rPr>
      <t>单位本财年CSG</t>
    </r>
    <r>
      <rPr>
        <sz val="10"/>
        <color theme="1"/>
        <rFont val="微软雅黑"/>
        <family val="2"/>
        <charset val="134"/>
      </rPr>
      <t>签单/回款数据、CSG业务揭示</t>
    </r>
    <r>
      <rPr>
        <sz val="10"/>
        <color theme="1"/>
        <rFont val="微软雅黑"/>
        <family val="2"/>
        <charset val="134"/>
      </rPr>
      <t>，请查阅。
            云服务集团市场部</t>
    </r>
    <phoneticPr fontId="6" type="noConversion"/>
  </si>
  <si>
    <t>guoqiang@inspur.com</t>
    <phoneticPr fontId="6" type="noConversion"/>
  </si>
  <si>
    <t>郭强</t>
    <phoneticPr fontId="6" type="noConversion"/>
  </si>
  <si>
    <t>zhaolj@inspur.com</t>
    <phoneticPr fontId="6" type="noConversion"/>
  </si>
  <si>
    <t>赵立杰</t>
    <phoneticPr fontId="6" type="noConversion"/>
  </si>
  <si>
    <t>王虹莉</t>
    <phoneticPr fontId="6" type="noConversion"/>
  </si>
  <si>
    <t>陈东风</t>
    <phoneticPr fontId="6" type="noConversion"/>
  </si>
  <si>
    <t>政法行业部</t>
  </si>
  <si>
    <t>党政教育行业部</t>
  </si>
  <si>
    <t>建筑行业部</t>
  </si>
  <si>
    <t>kangzp@inspur.com;tangjing@inspur.com</t>
    <phoneticPr fontId="6" type="noConversion"/>
  </si>
  <si>
    <r>
      <t>FY2016贵部签单</t>
    </r>
    <r>
      <rPr>
        <sz val="10"/>
        <color theme="1"/>
        <rFont val="微软雅黑"/>
        <family val="2"/>
        <charset val="134"/>
      </rPr>
      <t>/</t>
    </r>
    <r>
      <rPr>
        <sz val="10"/>
        <color theme="1"/>
        <rFont val="微软雅黑"/>
        <family val="2"/>
        <charset val="134"/>
      </rPr>
      <t>回款决算</t>
    </r>
    <r>
      <rPr>
        <sz val="10"/>
        <color theme="1"/>
        <rFont val="微软雅黑"/>
        <family val="2"/>
        <charset val="134"/>
      </rPr>
      <t>明细</t>
    </r>
    <phoneticPr fontId="6" type="noConversion"/>
  </si>
  <si>
    <t>称呼</t>
    <phoneticPr fontId="6" type="noConversion"/>
  </si>
  <si>
    <t>A总</t>
    <phoneticPr fontId="6" type="noConversion"/>
  </si>
  <si>
    <t>前表格正文</t>
    <phoneticPr fontId="6" type="noConversion"/>
  </si>
  <si>
    <t>后表格正文</t>
    <phoneticPr fontId="6" type="noConversion"/>
  </si>
  <si>
    <t>落款</t>
    <phoneticPr fontId="6" type="noConversion"/>
  </si>
  <si>
    <t xml:space="preserve">      
    您好! 这是表格之前的正文。</t>
    <phoneticPr fontId="6" type="noConversion"/>
  </si>
  <si>
    <t xml:space="preserve">    表格后正文</t>
    <phoneticPr fontId="6" type="noConversion"/>
  </si>
  <si>
    <t xml:space="preserve">     云服务集团市场部</t>
    <phoneticPr fontId="6" type="noConversion"/>
  </si>
  <si>
    <t>表格HTML</t>
    <phoneticPr fontId="6" type="noConversion"/>
  </si>
  <si>
    <t>正文内容显示</t>
    <phoneticPr fontId="6" type="noConversion"/>
  </si>
  <si>
    <t>正文HTML</t>
    <phoneticPr fontId="6" type="noConversion"/>
  </si>
  <si>
    <t>&lt;font face="微软雅黑" size=”11.0pt” color="黑色"&gt;</t>
    <phoneticPr fontId="6" type="noConversion"/>
  </si>
  <si>
    <t>&lt;br/&gt;&amp;nbsp;&amp;nbsp;&amp;nbsp;&amp;nbsp;&amp;nbsp;</t>
    <phoneticPr fontId="6" type="noConversion"/>
  </si>
  <si>
    <t>&lt;br/&gt;&lt;/font&gt;</t>
    <phoneticPr fontId="6" type="noConversion"/>
  </si>
  <si>
    <t>&lt;font face="微软雅黑" size=”11.0pt” color="黑色"&gt;&amp;nbsp;&amp;nbsp;&amp;nbsp;&amp;nbsp;&amp;nbsp;</t>
    <phoneticPr fontId="6" type="noConversion"/>
  </si>
  <si>
    <t>&lt;br/&gt;&lt;br/&gt;&amp;nbsp;&amp;nbsp;&amp;nbsp;&amp;nbsp;&amp;nbsp;</t>
    <phoneticPr fontId="6" type="noConversion"/>
  </si>
  <si>
    <t>&lt;/font&gt;</t>
    <phoneticPr fontId="6" type="noConversion"/>
  </si>
  <si>
    <t xml:space="preserve">
&lt;head&gt;
&lt;meta http-equiv=Content-Type content=""text/html; charset=gb2312""&gt;
&lt;meta name=ProgId content=Excel.Sheet&gt;
&lt;meta name=Generator content=""Microsoft Excel 15""&gt;
&lt;link rel=File-List href=""She1.files/filelist.xml""&gt;
&lt;style id=""ToHtml_32014_Styles""&gt;
&lt;!--table
 {mso-displayed-decimal-separator:""\."";
 mso-displayed-thousand-separator:""\,"";}
.font532014
 {color:windowtext;
 font-size:9.0pt;
 font-weight:400;
 font-style:normal;
 text-decoration:none;
 font-family:宋体;
 mso-generic-font-family:auto;
 mso-font-charset:134;}
.xl1532014
 {padding-top:1px;
 padding-right:1px;
 padding-left:1px;
 mso-ignore:padding;
 color:black;
 font-size:11.0pt;
 font-weight:400;
 font-style:normal;
 text-decoration:none;
 font-family:宋体;
 mso-generic-font-family:auto;
 mso-font-charset:134;
 mso-number-format:General;
 text-align:general;
 vertical-align:bottom;
 mso-background-source:auto;
 mso-pattern:auto;
 white-space:nowrap;}
.xl6332014
 {padding-top:1px;
 padding-right:1px;
 padding-left:1px;
 mso-ignore:padding;
 color:white;
 font-size:11.0pt;
 font-weight:400;
 font-style:normal;
 text-decoration:none;
 font-family:微软雅黑, sans-serif;
 mso-font-charset:134;
 mso-number-format:General;
 text-align:center;
 vertical-align:bottom;
 border:.5pt solid windowtext;
 background:#0070C0;
 mso-pattern:black none;
 white-space:nowrap;}
.xl6432014
 {padding-top:1px;
 padding-right:1px;
 padding-left:1px;
 mso-ignore:padding;
 color:black;
 font-size:11.0pt;
 font-weight:400;
 font-style:normal;
 text-decoration:none;
 font-family:微软雅黑, sans-serif;
 mso-font-charset:134;
 mso-number-format:General;
 text-align:center;
 vertical-align:bottom;
 border:.5pt solid windowtext;
 mso-background-source:auto;
 mso-pattern:auto;
 white-space:nowrap;}
ruby
 {ruby-align:left;}
rt
 {color:windowtext;
 font-size:9.0pt;
 font-weight:400;
 font-style:normal;
 text-decoration:none;
 font-family:宋体;
 mso-generic-font-family:auto;
 mso-font-charset:134;
 mso-char-type:none;}
--&gt;
&lt;/style&gt;
&lt;/head&gt;
&lt;body&gt;
&lt;!--[if !excel]&gt;　　&lt;![endif]--&gt;
&lt;!--下列信息由 Microsoft Excel 的发布为网页向导生成。--&gt;
&lt;!--如果同一条目从 Excel 中重新发布，则所有位于 DIV 标记之间的信息均将被替换。--&gt;
&lt;!-----------------------------&gt;
&lt;!--“从 EXCEL 发布网页”向导开始--&gt;
&lt;!-----------------------------&gt;
&lt;div style="text-indent:2em;" id=""ToHtml_32014"" align=center x:publishsource=""Excel""&gt;
&lt;table border=0 cellpadding=0 cellspacing=0 width=308 style='border-collapse:
 collapse;table-layout:fixed;width:231pt'&gt;
 &lt;col width=131 style='mso-width-source:userset;mso-width-alt:4192;width:98pt'&gt;
 &lt;col width=93 style='mso-width-source:userset;mso-width-alt:2976;width:70pt'&gt;
 &lt;col width=84 style='mso-width-source:userset;mso-width-alt:2688;width:63pt'&gt;
 &lt;tr height=22 style='height:16.5pt'&gt;
  &lt;td height=22 class=xl6332014 width=131 style='height:16.5pt;width:98pt'&gt;sdfas阿斯顿发生&lt;/td&gt;
  &lt;td class=xl6332014 width=93 style='border-left:none;width:70pt'&gt;阿斯蒂芬&lt;/td&gt;
  &lt;td class=xl6332014 width=84 style='border-left:none;width:63pt'&gt;阿斯蒂芬&lt;/td&gt;
 &lt;/tr&gt;
 &lt;tr height=22 style='height:16.5pt'&gt;
  &lt;td height=22 class=xl6432014 style='height:16.5pt;border-top:none'&gt;阿斯蒂芬&lt;/td&gt;
  &lt;td class=xl6432014 style='border-top:none;border-left:none'&gt;打发&lt;/td&gt;
  &lt;td class=xl6432014 style='border-top:none;border-left:none'&gt;短松冈&lt;/td&gt;
 &lt;/tr&gt;
 &lt;tr height=22 style='height:16.5pt'&gt;
  &lt;td height=22 class=xl6432014 style='height:16.5pt;border-top:none'&gt;啥地方&lt;/td&gt;
  &lt;td class=xl6432014 style='border-top:none;border-left:none'&gt;阿斯蒂芬&lt;/td&gt;
  &lt;td class=xl6432014 style='border-top:none;border-left:none'&gt;办法&lt;/td&gt;
 &lt;/tr&gt;
 &lt;![if supportMisalignedColumns]&gt;
 &lt;tr height=0 style='display:none'&gt;
  &lt;td width=131 style='width:98pt'&gt;&lt;/td&gt;
  &lt;td width=93 style='width:70pt'&gt;&lt;/td&gt;
  &lt;td width=84 style='width:63pt'&gt;&lt;/td&gt;
 &lt;/tr&gt;
 &lt;![endif]&gt;
&lt;/table&gt;
&lt;/div&gt;</t>
    <phoneticPr fontId="6" type="noConversion"/>
  </si>
  <si>
    <t xml:space="preserve">
&lt;head&gt;
&lt;meta http-equiv=Content-Type content=""text/html; charset=gb2312""&gt;
&lt;meta name=ProgId content=Excel.Sheet&gt;
&lt;meta name=Generator content=""Microsoft Excel 15""&gt;
&lt;link rel=File-List href=""She1.files/filelist.xml""&gt;
&lt;style id=""ToHtml_740_Styles""&gt;
&lt;!--table
 {mso-displayed-decimal-separator:""\."";
 mso-displayed-thousand-separator:""\,"";}
.font5740
 {color:windowtext;
 font-size:9.0pt;
 font-weight:400;
 font-style:normal;
 text-decoration:none;
 font-family:宋体;
 mso-generic-font-family:auto;
 mso-font-charset:134;}
.xl15740
 {padding-top:1px;
 padding-right:1px;
 padding-left:1px;
 mso-ignore:padding;
 color:black;
 font-size:11.0pt;
 font-weight:400;
 font-style:normal;
 text-decoration:none;
 font-family:宋体;
 mso-generic-font-family:auto;
 mso-font-charset:134;
 mso-number-format:General;
 text-align:general;
 vertical-align:bottom;
 mso-background-source:auto;
 mso-pattern:auto;
 white-space:nowrap;}
.xl63740
 {padding-top:1px;
 padding-right:1px;
 padding-left:1px;
 mso-ignore:padding;
 color:white;
 font-size:11.0pt;
 font-weight:400;
 font-style:normal;
 text-decoration:none;
 font-family:微软雅黑, sans-serif;
 mso-font-charset:134;
 mso-number-format:General;
 text-align:center;
 vertical-align:bottom;
 border:.5pt solid windowtext;
 background:#0070C0;
 mso-pattern:black none;
 white-space:nowrap;}
.xl64740
 {padding-top:1px;
 padding-right:1px;
 padding-left:1px;
 mso-ignore:padding;
 color:black;
 font-size:11.0pt;
 font-weight:400;
 font-style:normal;
 text-decoration:none;
 font-family:微软雅黑, sans-serif;
 mso-font-charset:134;
 mso-number-format:General;
 text-align:center;
 vertical-align:bottom;
 border:.5pt solid windowtext;
 mso-background-source:auto;
 mso-pattern:auto;
 white-space:nowrap;}
ruby
 {ruby-align:left;}
rt
 {color:windowtext;
 font-size:9.0pt;
 font-weight:400;
 font-style:normal;
 text-decoration:none;
 font-family:宋体;
 mso-generic-font-family:auto;
 mso-font-charset:134;
 mso-char-type:none;}
--&gt;
&lt;/style&gt;
&lt;/head&gt;
&lt;body&gt;
&lt;!--[if !excel]&gt;　　&lt;![endif]--&gt;
&lt;!--下列信息由 Microsoft Excel 的发布为网页向导生成。--&gt;
&lt;!--如果同一条目从 Excel 中重新发布，则所有位于 DIV 标记之间的信息均将被替换。--&gt;
&lt;!-----------------------------&gt;
&lt;!--“从 EXCEL 发布网页”向导开始--&gt;
&lt;!-----------------------------&gt;
&lt;div id=""ToHtml_740"" align=left x:publishsource=""Excel""&gt;
&lt;table border=0 cellpadding=0 cellspacing=0 width=351 style='border-collapse:
 collapse;table-layout:fixed;width:264pt'&gt;
 &lt;col width=37 style='mso-width-source:userset;mso-width-alt:1184;width:28pt'&gt;
 &lt;col width=131 style='mso-width-source:userset;mso-width-alt:4192;width:98pt'&gt;
 &lt;col width=93 style='mso-width-source:userset;mso-width-alt:2976;width:70pt'&gt;
 &lt;col width=90 style='mso-width-source:userset;mso-width-alt:2880;width:68pt'&gt;
 &lt;tr height=22 style='height:16.5pt'&gt;
  &lt;td height=22 class=xl15740 width=37 style='height:16.5pt;width:28pt'&gt;&lt;span
  style='mso-spacerun:yes'&gt;&amp;nbsp;&amp;nbsp;&amp;nbsp;&amp;nbsp;&lt;/span&gt;&lt;/td&gt;
  &lt;td class=xl63740 width=131 style='width:98pt'&gt;sdfas阿斯顿发生&lt;/td&gt;
  &lt;td class=xl63740 width=93 style='border-left:none;width:70pt'&gt;阿斯蒂芬&lt;/td&gt;
  &lt;td class=xl63740 width=90 style='border-left:none;width:68pt'&gt;阿斯蒂芬&lt;/td&gt;
 &lt;/tr&gt;
 &lt;tr height=22 style='height:16.5pt'&gt;
  &lt;td height=22 class=xl15740 style='height:16.5pt'&gt;&lt;/td&gt;
  &lt;td class=xl64740 style='border-top:none'&gt;阿斯蒂芬&lt;/td&gt;
  &lt;td class=xl64740 style='border-top:none;border-left:none'&gt;打发&lt;/td&gt;
  &lt;td class=xl64740 style='border-top:none;border-left:none'&gt;短松冈&lt;/td&gt;
 &lt;/tr&gt;
 &lt;tr height=22 style='height:16.5pt'&gt;
  &lt;td height=22 class=xl15740 style='height:16.5pt'&gt;&lt;/td&gt;
  &lt;td class=xl64740 style='border-top:none'&gt;啥地方&lt;/td&gt;
  &lt;td class=xl64740 style='border-top:none;border-left:none'&gt;阿斯蒂芬&lt;/td&gt;
  &lt;td class=xl64740 style='border-top:none;border-left:none'&gt;办法&lt;/td&gt;
 &lt;/tr&gt;
 &lt;![if supportMisalignedColumns]&gt;
 &lt;tr height=0 style='display:none'&gt;
  &lt;td width=37 style='width:28pt'&gt;&lt;/td&gt;
  &lt;td width=131 style='width:98pt'&gt;&lt;/td&gt;
  &lt;td width=93 style='width:70pt'&gt;&lt;/td&gt;
  &lt;td width=90 style='width:68pt'&gt;&lt;/td&gt;
 &lt;/tr&gt;
 &lt;![endif]&gt;
&lt;/table&gt;
&lt;/div&gt;
&lt;!-----------------------------&gt;
&lt;!--“从 EXCEL 发布网页”向导结束--&gt;
&lt;!-----------------------------&gt;
&lt;/body&gt;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</si>
</sst>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 * #,##0.00_ ;_ * \-#,##0.00_ ;_ * &quot;-&quot;??_ ;_ @_ "/>
  </numFmts>
  <fonts count="19" x14ac:knownFonts="1">
    <font>
      <sz val="11"/>
      <color theme="1"/>
      <name val="宋体"/>
      <family val="2"/>
      <charset val="134"/>
      <scheme val="minor"/>
    </font>
    <font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9"/>
      <name val="宋体"/>
      <family val="2"/>
      <charset val="134"/>
      <scheme val="minor"/>
    </font>
    <font>
      <u/>
      <sz val="11"/>
      <color theme="10"/>
      <name val="宋体"/>
      <family val="2"/>
      <charset val="134"/>
      <scheme val="minor"/>
    </font>
    <font>
      <sz val="10"/>
      <color indexed="8"/>
      <name val="微软雅黑"/>
      <family val="2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  <scheme val="minor"/>
    </font>
    <font>
      <b/>
      <sz val="10"/>
      <name val="微软雅黑"/>
      <family val="2"/>
      <charset val="134"/>
    </font>
    <font>
      <sz val="9"/>
      <name val="Tahoma"/>
      <family val="2"/>
      <charset val="134"/>
    </font>
    <font>
      <sz val="12"/>
      <name val="Times New Roman"/>
      <family val="1"/>
    </font>
    <font>
      <sz val="11"/>
      <color rgb="FF000000"/>
      <name val="宋体"/>
      <family val="3"/>
      <charset val="134"/>
    </font>
    <font>
      <sz val="12"/>
      <name val="宋体"/>
      <family val="3"/>
      <charset val="134"/>
    </font>
    <font>
      <b/>
      <sz val="10"/>
      <color theme="1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1"/>
      <color rgb="FFFF0000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13" fillId="0" borderId="0"/>
    <xf numFmtId="43" fontId="15" fillId="0" borderId="0" applyFont="0" applyFill="0" applyBorder="0" applyAlignment="0" applyProtection="0">
      <alignment vertical="center"/>
    </xf>
  </cellStyleXfs>
  <cellXfs count="87">
    <xf numFmtId="0" fontId="0" fillId="0" borderId="0" xfId="0">
      <alignment vertical="center"/>
    </xf>
    <xf numFmtId="0" fontId="9" fillId="3" borderId="1" xfId="0" applyNumberFormat="1" applyFont="1" applyFill="1" applyBorder="1" applyAlignment="1">
      <alignment horizontal="center" vertical="center"/>
    </xf>
    <xf numFmtId="0" fontId="9" fillId="0" borderId="1" xfId="0" applyNumberFormat="1" applyFont="1" applyFill="1" applyBorder="1" applyAlignment="1">
      <alignment horizontal="center" vertical="center"/>
    </xf>
    <xf numFmtId="0" fontId="9" fillId="3" borderId="2" xfId="0" applyNumberFormat="1" applyFont="1" applyFill="1" applyBorder="1" applyAlignment="1">
      <alignment horizontal="center" vertical="center"/>
    </xf>
    <xf numFmtId="0" fontId="7" fillId="0" borderId="1" xfId="1" applyBorder="1" applyAlignment="1">
      <alignment horizontal="right" vertical="center"/>
    </xf>
    <xf numFmtId="0" fontId="8" fillId="2" borderId="4" xfId="0" applyNumberFormat="1" applyFont="1" applyFill="1" applyBorder="1" applyAlignment="1">
      <alignment horizontal="left" vertical="center" wrapText="1"/>
    </xf>
    <xf numFmtId="0" fontId="8" fillId="2" borderId="4" xfId="0" applyNumberFormat="1" applyFont="1" applyFill="1" applyBorder="1" applyAlignment="1">
      <alignment horizontal="center" vertical="center" wrapText="1"/>
    </xf>
    <xf numFmtId="0" fontId="9" fillId="2" borderId="4" xfId="0" applyNumberFormat="1" applyFont="1" applyFill="1" applyBorder="1" applyAlignment="1">
      <alignment horizontal="center" vertical="center" wrapText="1"/>
    </xf>
    <xf numFmtId="0" fontId="11" fillId="5" borderId="4" xfId="0" applyFont="1" applyFill="1" applyBorder="1" applyAlignment="1">
      <alignment horizontal="left"/>
    </xf>
    <xf numFmtId="0" fontId="11" fillId="5" borderId="4" xfId="0" applyFont="1" applyFill="1" applyBorder="1" applyAlignment="1">
      <alignment horizontal="center"/>
    </xf>
    <xf numFmtId="0" fontId="17" fillId="7" borderId="1" xfId="0" applyNumberFormat="1" applyFont="1" applyFill="1" applyBorder="1" applyAlignment="1">
      <alignment horizontal="center" vertical="center" wrapText="1"/>
    </xf>
    <xf numFmtId="0" fontId="11" fillId="7" borderId="1" xfId="0" applyNumberFormat="1" applyFont="1" applyFill="1" applyBorder="1" applyAlignment="1">
      <alignment horizontal="center" vertical="center" wrapText="1"/>
    </xf>
    <xf numFmtId="0" fontId="17" fillId="7" borderId="1" xfId="0" applyNumberFormat="1" applyFont="1" applyFill="1" applyBorder="1" applyAlignment="1">
      <alignment horizontal="right" vertical="center" wrapText="1"/>
    </xf>
    <xf numFmtId="0" fontId="11" fillId="7" borderId="1" xfId="0" applyFont="1" applyFill="1" applyBorder="1" applyAlignment="1">
      <alignment horizontal="center"/>
    </xf>
    <xf numFmtId="0" fontId="16" fillId="7" borderId="1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left" vertical="center"/>
    </xf>
    <xf numFmtId="0" fontId="5" fillId="0" borderId="4" xfId="0" applyFont="1" applyBorder="1">
      <alignment vertical="center"/>
    </xf>
    <xf numFmtId="0" fontId="5" fillId="0" borderId="4" xfId="0" applyFont="1" applyBorder="1" applyAlignment="1">
      <alignment vertical="center" wrapText="1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1" xfId="0" applyFont="1" applyBorder="1" applyAlignment="1"/>
    <xf numFmtId="0" fontId="5" fillId="0" borderId="2" xfId="0" applyFont="1" applyBorder="1" applyAlignment="1"/>
    <xf numFmtId="0" fontId="5" fillId="0" borderId="1" xfId="0" applyFont="1" applyBorder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right" vertical="center"/>
    </xf>
    <xf numFmtId="0" fontId="5" fillId="0" borderId="0" xfId="0" applyFont="1">
      <alignment vertical="center"/>
    </xf>
    <xf numFmtId="0" fontId="16" fillId="7" borderId="1" xfId="0" quotePrefix="1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5" fillId="0" borderId="0" xfId="0" quotePrefix="1" applyFont="1" applyFill="1" applyBorder="1">
      <alignment vertical="center"/>
    </xf>
    <xf numFmtId="0" fontId="5" fillId="6" borderId="4" xfId="0" applyFont="1" applyFill="1" applyBorder="1">
      <alignment vertical="center"/>
    </xf>
    <xf numFmtId="0" fontId="5" fillId="6" borderId="4" xfId="0" applyFont="1" applyFill="1" applyBorder="1" applyAlignment="1">
      <alignment vertical="center" wrapText="1"/>
    </xf>
    <xf numFmtId="0" fontId="5" fillId="4" borderId="4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0" borderId="0" xfId="0" quotePrefix="1" applyFont="1">
      <alignment vertical="center"/>
    </xf>
    <xf numFmtId="0" fontId="5" fillId="0" borderId="0" xfId="0" applyFont="1" applyFill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Border="1">
      <alignment vertical="center"/>
    </xf>
    <xf numFmtId="0" fontId="5" fillId="0" borderId="1" xfId="0" applyFont="1" applyFill="1" applyBorder="1">
      <alignment vertical="center"/>
    </xf>
    <xf numFmtId="0" fontId="5" fillId="0" borderId="0" xfId="0" applyFont="1" applyFill="1">
      <alignment vertical="center"/>
    </xf>
    <xf numFmtId="0" fontId="5" fillId="0" borderId="0" xfId="0" applyFont="1" applyAlignment="1">
      <alignment horizontal="left" vertical="center" wrapText="1"/>
    </xf>
    <xf numFmtId="0" fontId="5" fillId="0" borderId="0" xfId="0" applyFont="1" applyAlignment="1">
      <alignment horizontal="right" vertical="center" wrapText="1"/>
    </xf>
    <xf numFmtId="0" fontId="5" fillId="0" borderId="0" xfId="0" applyFont="1" applyAlignment="1">
      <alignment vertical="center" wrapText="1"/>
    </xf>
    <xf numFmtId="0" fontId="11" fillId="7" borderId="1" xfId="0" applyFont="1" applyFill="1" applyBorder="1" applyAlignment="1">
      <alignment horizontal="right"/>
    </xf>
    <xf numFmtId="0" fontId="11" fillId="5" borderId="4" xfId="0" applyFont="1" applyFill="1" applyBorder="1" applyAlignment="1">
      <alignment horizontal="right"/>
    </xf>
    <xf numFmtId="0" fontId="8" fillId="5" borderId="1" xfId="0" applyNumberFormat="1" applyFont="1" applyFill="1" applyBorder="1" applyAlignment="1">
      <alignment horizontal="left" vertical="center" wrapText="1"/>
    </xf>
    <xf numFmtId="0" fontId="9" fillId="5" borderId="1" xfId="0" applyNumberFormat="1" applyFont="1" applyFill="1" applyBorder="1" applyAlignment="1">
      <alignment horizontal="left" vertical="center" wrapText="1"/>
    </xf>
    <xf numFmtId="0" fontId="8" fillId="5" borderId="2" xfId="0" applyNumberFormat="1" applyFont="1" applyFill="1" applyBorder="1" applyAlignment="1">
      <alignment horizontal="left" vertical="center" wrapText="1"/>
    </xf>
    <xf numFmtId="0" fontId="5" fillId="5" borderId="1" xfId="0" applyFont="1" applyFill="1" applyBorder="1" applyAlignment="1">
      <alignment horizontal="left" vertical="center" wrapText="1"/>
    </xf>
    <xf numFmtId="0" fontId="9" fillId="0" borderId="1" xfId="0" applyFont="1" applyFill="1" applyBorder="1" applyAlignment="1">
      <alignment horizontal="center"/>
    </xf>
    <xf numFmtId="0" fontId="11" fillId="7" borderId="1" xfId="0" applyFont="1" applyFill="1" applyBorder="1" applyAlignment="1">
      <alignment wrapText="1"/>
    </xf>
    <xf numFmtId="0" fontId="11" fillId="5" borderId="4" xfId="0" applyFont="1" applyFill="1" applyBorder="1" applyAlignment="1">
      <alignment wrapText="1"/>
    </xf>
    <xf numFmtId="0" fontId="5" fillId="5" borderId="1" xfId="0" applyFont="1" applyFill="1" applyBorder="1" applyAlignment="1">
      <alignment vertical="center" wrapText="1"/>
    </xf>
    <xf numFmtId="0" fontId="5" fillId="5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right" vertical="center"/>
    </xf>
    <xf numFmtId="0" fontId="5" fillId="0" borderId="4" xfId="0" applyFont="1" applyBorder="1" applyAlignment="1">
      <alignment horizontal="right" vertical="center"/>
    </xf>
    <xf numFmtId="0" fontId="5" fillId="0" borderId="4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vertical="center" wrapText="1"/>
    </xf>
    <xf numFmtId="0" fontId="5" fillId="9" borderId="4" xfId="0" applyFont="1" applyFill="1" applyBorder="1">
      <alignment vertical="center"/>
    </xf>
    <xf numFmtId="0" fontId="5" fillId="9" borderId="1" xfId="0" applyFont="1" applyFill="1" applyBorder="1">
      <alignment vertical="center"/>
    </xf>
    <xf numFmtId="0" fontId="5" fillId="4" borderId="4" xfId="0" quotePrefix="1" applyFont="1" applyFill="1" applyBorder="1" applyAlignment="1">
      <alignment horizontal="center" vertical="center"/>
    </xf>
    <xf numFmtId="0" fontId="5" fillId="0" borderId="4" xfId="0" quotePrefix="1" applyFont="1" applyBorder="1">
      <alignment vertical="center"/>
    </xf>
    <xf numFmtId="0" fontId="5" fillId="0" borderId="1" xfId="0" quotePrefix="1" applyFont="1" applyBorder="1" applyAlignment="1">
      <alignment horizontal="center" vertical="center"/>
    </xf>
    <xf numFmtId="0" fontId="5" fillId="0" borderId="1" xfId="0" quotePrefix="1" applyFont="1" applyBorder="1">
      <alignment vertical="center"/>
    </xf>
    <xf numFmtId="0" fontId="16" fillId="7" borderId="1" xfId="0" applyFont="1" applyFill="1" applyBorder="1" applyAlignment="1">
      <alignment horizontal="left" vertical="center"/>
    </xf>
    <xf numFmtId="0" fontId="5" fillId="4" borderId="4" xfId="0" applyFont="1" applyFill="1" applyBorder="1" applyAlignment="1">
      <alignment horizontal="left" vertical="center"/>
    </xf>
    <xf numFmtId="0" fontId="5" fillId="5" borderId="1" xfId="0" applyFont="1" applyFill="1" applyBorder="1" applyAlignment="1">
      <alignment horizontal="left" vertical="center"/>
    </xf>
    <xf numFmtId="0" fontId="8" fillId="3" borderId="1" xfId="0" applyNumberFormat="1" applyFont="1" applyFill="1" applyBorder="1" applyAlignment="1">
      <alignment horizontal="center" vertical="center" wrapText="1"/>
    </xf>
    <xf numFmtId="0" fontId="8" fillId="3" borderId="1" xfId="0" applyNumberFormat="1" applyFont="1" applyFill="1" applyBorder="1" applyAlignment="1">
      <alignment horizontal="center" vertical="center"/>
    </xf>
    <xf numFmtId="0" fontId="8" fillId="0" borderId="1" xfId="0" applyNumberFormat="1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0" borderId="4" xfId="1" applyBorder="1">
      <alignment vertical="center"/>
    </xf>
    <xf numFmtId="0" fontId="2" fillId="6" borderId="4" xfId="0" applyFont="1" applyFill="1" applyBorder="1">
      <alignment vertical="center"/>
    </xf>
    <xf numFmtId="0" fontId="2" fillId="6" borderId="4" xfId="0" applyFont="1" applyFill="1" applyBorder="1" applyAlignment="1">
      <alignment vertical="center" wrapText="1"/>
    </xf>
    <xf numFmtId="0" fontId="1" fillId="9" borderId="1" xfId="0" applyFont="1" applyFill="1" applyBorder="1">
      <alignment vertical="center"/>
    </xf>
    <xf numFmtId="0" fontId="1" fillId="6" borderId="4" xfId="0" applyFont="1" applyFill="1" applyBorder="1" applyAlignment="1">
      <alignment vertical="center" wrapText="1"/>
    </xf>
    <xf numFmtId="10" fontId="9" fillId="10" borderId="1" xfId="3" applyNumberFormat="1" applyFont="1" applyFill="1" applyBorder="1" applyAlignment="1">
      <alignment horizontal="left" vertical="center"/>
    </xf>
    <xf numFmtId="0" fontId="1" fillId="6" borderId="4" xfId="0" applyFont="1" applyFill="1" applyBorder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Fill="1" applyAlignment="1">
      <alignment vertical="center" wrapText="1"/>
    </xf>
    <xf numFmtId="0" fontId="1" fillId="0" borderId="0" xfId="0" applyFont="1">
      <alignment vertical="center"/>
    </xf>
    <xf numFmtId="0" fontId="0" fillId="0" borderId="1" xfId="0" applyBorder="1">
      <alignment vertical="center"/>
    </xf>
  </cellXfs>
  <cellStyles count="4">
    <cellStyle name="_ET_STYLE_NoName_00_" xfId="2"/>
    <cellStyle name="常规" xfId="0" builtinId="0"/>
    <cellStyle name="超链接" xfId="1" builtinId="8"/>
    <cellStyle name="千位分隔 2" xf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9DEDF1"/>
      <color rgb="FFDDDDDD"/>
      <color rgb="FFCCFFCC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0</xdr:row>
          <xdr:rowOff>19050</xdr:rowOff>
        </xdr:from>
        <xdr:to>
          <xdr:col>1</xdr:col>
          <xdr:colOff>857250</xdr:colOff>
          <xdr:row>1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微软雅黑"/>
                  <a:ea typeface="微软雅黑"/>
                </a:rPr>
                <a:t>发送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FF0000"/>
                </a:solidFill>
                <a:latin typeface="微软雅黑"/>
                <a:ea typeface="微软雅黑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0</xdr:row>
          <xdr:rowOff>19050</xdr:rowOff>
        </xdr:from>
        <xdr:to>
          <xdr:col>2</xdr:col>
          <xdr:colOff>276225</xdr:colOff>
          <xdr:row>1</xdr:row>
          <xdr:rowOff>9525</xdr:rowOff>
        </xdr:to>
        <xdr:sp macro="" textlink="">
          <xdr:nvSpPr>
            <xdr:cNvPr id="617473" name="Button 1" hidden="1">
              <a:extLst>
                <a:ext uri="{63B3BB69-23CF-44E3-9099-C40C66FF867C}">
                  <a14:compatExt spid="_x0000_s617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微软雅黑"/>
                  <a:ea typeface="微软雅黑"/>
                </a:rPr>
                <a:t>发送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FF0000"/>
                </a:solidFill>
                <a:latin typeface="微软雅黑"/>
                <a:ea typeface="微软雅黑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0</xdr:row>
          <xdr:rowOff>19050</xdr:rowOff>
        </xdr:from>
        <xdr:to>
          <xdr:col>1</xdr:col>
          <xdr:colOff>857250</xdr:colOff>
          <xdr:row>1</xdr:row>
          <xdr:rowOff>9525</xdr:rowOff>
        </xdr:to>
        <xdr:sp macro="" textlink="">
          <xdr:nvSpPr>
            <xdr:cNvPr id="605185" name="Button 1" hidden="1">
              <a:extLst>
                <a:ext uri="{63B3BB69-23CF-44E3-9099-C40C66FF867C}">
                  <a14:compatExt spid="_x0000_s605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微软雅黑"/>
                  <a:ea typeface="微软雅黑"/>
                </a:rPr>
                <a:t>发送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FF0000"/>
                </a:solidFill>
                <a:latin typeface="微软雅黑"/>
                <a:ea typeface="微软雅黑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0</xdr:row>
          <xdr:rowOff>19050</xdr:rowOff>
        </xdr:from>
        <xdr:to>
          <xdr:col>2</xdr:col>
          <xdr:colOff>276225</xdr:colOff>
          <xdr:row>1</xdr:row>
          <xdr:rowOff>9525</xdr:rowOff>
        </xdr:to>
        <xdr:sp macro="" textlink="">
          <xdr:nvSpPr>
            <xdr:cNvPr id="610305" name="Button 1" hidden="1">
              <a:extLst>
                <a:ext uri="{63B3BB69-23CF-44E3-9099-C40C66FF867C}">
                  <a14:compatExt spid="_x0000_s610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微软雅黑"/>
                  <a:ea typeface="微软雅黑"/>
                </a:rPr>
                <a:t>发送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FF0000"/>
                </a:solidFill>
                <a:latin typeface="微软雅黑"/>
                <a:ea typeface="微软雅黑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0</xdr:row>
          <xdr:rowOff>19050</xdr:rowOff>
        </xdr:from>
        <xdr:to>
          <xdr:col>1</xdr:col>
          <xdr:colOff>857250</xdr:colOff>
          <xdr:row>1</xdr:row>
          <xdr:rowOff>9525</xdr:rowOff>
        </xdr:to>
        <xdr:sp macro="" textlink="">
          <xdr:nvSpPr>
            <xdr:cNvPr id="601089" name="Button 1" hidden="1">
              <a:extLst>
                <a:ext uri="{63B3BB69-23CF-44E3-9099-C40C66FF867C}">
                  <a14:compatExt spid="_x0000_s60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微软雅黑"/>
                  <a:ea typeface="微软雅黑"/>
                </a:rPr>
                <a:t>发送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FF0000"/>
                </a:solidFill>
                <a:latin typeface="微软雅黑"/>
                <a:ea typeface="微软雅黑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0</xdr:row>
          <xdr:rowOff>19050</xdr:rowOff>
        </xdr:from>
        <xdr:to>
          <xdr:col>1</xdr:col>
          <xdr:colOff>857250</xdr:colOff>
          <xdr:row>1</xdr:row>
          <xdr:rowOff>9525</xdr:rowOff>
        </xdr:to>
        <xdr:sp macro="" textlink="">
          <xdr:nvSpPr>
            <xdr:cNvPr id="596993" name="Button 1" hidden="1">
              <a:extLst>
                <a:ext uri="{63B3BB69-23CF-44E3-9099-C40C66FF867C}">
                  <a14:compatExt spid="_x0000_s596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微软雅黑"/>
                  <a:ea typeface="微软雅黑"/>
                </a:rPr>
                <a:t>发送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FF0000"/>
                </a:solidFill>
                <a:latin typeface="微软雅黑"/>
                <a:ea typeface="微软雅黑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0</xdr:row>
          <xdr:rowOff>19050</xdr:rowOff>
        </xdr:from>
        <xdr:to>
          <xdr:col>1</xdr:col>
          <xdr:colOff>857250</xdr:colOff>
          <xdr:row>1</xdr:row>
          <xdr:rowOff>9525</xdr:rowOff>
        </xdr:to>
        <xdr:sp macro="" textlink="">
          <xdr:nvSpPr>
            <xdr:cNvPr id="594945" name="Button 1" hidden="1">
              <a:extLst>
                <a:ext uri="{63B3BB69-23CF-44E3-9099-C40C66FF867C}">
                  <a14:compatExt spid="_x0000_s594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微软雅黑"/>
                  <a:ea typeface="微软雅黑"/>
                </a:rPr>
                <a:t>发送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FF0000"/>
                </a:solidFill>
                <a:latin typeface="微软雅黑"/>
                <a:ea typeface="微软雅黑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0</xdr:row>
          <xdr:rowOff>9525</xdr:rowOff>
        </xdr:from>
        <xdr:to>
          <xdr:col>1</xdr:col>
          <xdr:colOff>666750</xdr:colOff>
          <xdr:row>1</xdr:row>
          <xdr:rowOff>0</xdr:rowOff>
        </xdr:to>
        <xdr:sp macro="" textlink="">
          <xdr:nvSpPr>
            <xdr:cNvPr id="578561" name="Button 1" hidden="1">
              <a:extLst>
                <a:ext uri="{63B3BB69-23CF-44E3-9099-C40C66FF867C}">
                  <a14:compatExt spid="_x0000_s578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发送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longqi@inspur.com" TargetMode="External"/><Relationship Id="rId18" Type="http://schemas.openxmlformats.org/officeDocument/2006/relationships/hyperlink" Target="mailto:yangxubin@inspur.com" TargetMode="External"/><Relationship Id="rId26" Type="http://schemas.openxmlformats.org/officeDocument/2006/relationships/hyperlink" Target="mailto:zhujiong@inspur.com" TargetMode="External"/><Relationship Id="rId3" Type="http://schemas.openxmlformats.org/officeDocument/2006/relationships/hyperlink" Target="mailto:lixialc@inspur.com" TargetMode="External"/><Relationship Id="rId21" Type="http://schemas.openxmlformats.org/officeDocument/2006/relationships/hyperlink" Target="mailto:zhengdw@inspur.com" TargetMode="External"/><Relationship Id="rId34" Type="http://schemas.openxmlformats.org/officeDocument/2006/relationships/ctrlProp" Target="../ctrlProps/ctrlProp1.xml"/><Relationship Id="rId7" Type="http://schemas.openxmlformats.org/officeDocument/2006/relationships/hyperlink" Target="mailto:liuxinhb@inspur.com" TargetMode="External"/><Relationship Id="rId12" Type="http://schemas.openxmlformats.org/officeDocument/2006/relationships/hyperlink" Target="mailto:liyz@inspur.com" TargetMode="External"/><Relationship Id="rId17" Type="http://schemas.openxmlformats.org/officeDocument/2006/relationships/hyperlink" Target="mailto:caomi@inspur.com;dumenglan@inspur.com" TargetMode="External"/><Relationship Id="rId25" Type="http://schemas.openxmlformats.org/officeDocument/2006/relationships/hyperlink" Target="mailto:yourui@inspur.com" TargetMode="External"/><Relationship Id="rId33" Type="http://schemas.openxmlformats.org/officeDocument/2006/relationships/vmlDrawing" Target="../drawings/vmlDrawing1.vml"/><Relationship Id="rId2" Type="http://schemas.openxmlformats.org/officeDocument/2006/relationships/hyperlink" Target="mailto:chenng@inspur.com;zhujiong@inspur.com" TargetMode="External"/><Relationship Id="rId16" Type="http://schemas.openxmlformats.org/officeDocument/2006/relationships/hyperlink" Target="mailto:tanhb@inspur.com" TargetMode="External"/><Relationship Id="rId20" Type="http://schemas.openxmlformats.org/officeDocument/2006/relationships/hyperlink" Target="mailto:loupeng@inspur.com" TargetMode="External"/><Relationship Id="rId29" Type="http://schemas.openxmlformats.org/officeDocument/2006/relationships/hyperlink" Target="mailto:guoqiang@inspur.com" TargetMode="External"/><Relationship Id="rId1" Type="http://schemas.openxmlformats.org/officeDocument/2006/relationships/hyperlink" Target="mailto:tanhb@inspur.com" TargetMode="External"/><Relationship Id="rId6" Type="http://schemas.openxmlformats.org/officeDocument/2006/relationships/hyperlink" Target="mailto:kangll@inspur.com" TargetMode="External"/><Relationship Id="rId11" Type="http://schemas.openxmlformats.org/officeDocument/2006/relationships/hyperlink" Target="mailto:guohong@inspur.com" TargetMode="External"/><Relationship Id="rId24" Type="http://schemas.openxmlformats.org/officeDocument/2006/relationships/hyperlink" Target="mailto:liuchuanhui@inspur.com" TargetMode="External"/><Relationship Id="rId32" Type="http://schemas.openxmlformats.org/officeDocument/2006/relationships/drawing" Target="../drawings/drawing1.xml"/><Relationship Id="rId5" Type="http://schemas.openxmlformats.org/officeDocument/2006/relationships/hyperlink" Target="mailto:yumh@inspur.com" TargetMode="External"/><Relationship Id="rId15" Type="http://schemas.openxmlformats.org/officeDocument/2006/relationships/hyperlink" Target="mailto:raosm@inspur.com" TargetMode="External"/><Relationship Id="rId23" Type="http://schemas.openxmlformats.org/officeDocument/2006/relationships/hyperlink" Target="mailto:yangyang1@inspur.com" TargetMode="External"/><Relationship Id="rId28" Type="http://schemas.openxmlformats.org/officeDocument/2006/relationships/hyperlink" Target="mailto:ye_hui@inspur.com" TargetMode="External"/><Relationship Id="rId10" Type="http://schemas.openxmlformats.org/officeDocument/2006/relationships/hyperlink" Target="mailto:zhigh@inspur.com" TargetMode="External"/><Relationship Id="rId19" Type="http://schemas.openxmlformats.org/officeDocument/2006/relationships/hyperlink" Target="mailto:yanglei-sh@inspur.com" TargetMode="External"/><Relationship Id="rId31" Type="http://schemas.openxmlformats.org/officeDocument/2006/relationships/printerSettings" Target="../printerSettings/printerSettings1.bin"/><Relationship Id="rId4" Type="http://schemas.openxmlformats.org/officeDocument/2006/relationships/hyperlink" Target="mailto:fujt@inspur.com" TargetMode="External"/><Relationship Id="rId9" Type="http://schemas.openxmlformats.org/officeDocument/2006/relationships/hyperlink" Target="mailto:yujingfj@inspur.com" TargetMode="External"/><Relationship Id="rId14" Type="http://schemas.openxmlformats.org/officeDocument/2006/relationships/hyperlink" Target="mailto:liumengfang@inspur.com" TargetMode="External"/><Relationship Id="rId22" Type="http://schemas.openxmlformats.org/officeDocument/2006/relationships/hyperlink" Target="mailto:houdj@inspur.com" TargetMode="External"/><Relationship Id="rId27" Type="http://schemas.openxmlformats.org/officeDocument/2006/relationships/hyperlink" Target="mailto:zhangxinjian@inspur.com" TargetMode="External"/><Relationship Id="rId30" Type="http://schemas.openxmlformats.org/officeDocument/2006/relationships/hyperlink" Target="mailto:zhaolj@inspur.com" TargetMode="External"/><Relationship Id="rId8" Type="http://schemas.openxmlformats.org/officeDocument/2006/relationships/hyperlink" Target="mailto:jingyx@inspur.com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mailto:longqi@inspur.com" TargetMode="External"/><Relationship Id="rId18" Type="http://schemas.openxmlformats.org/officeDocument/2006/relationships/hyperlink" Target="mailto:yangxubin@inspur.com" TargetMode="External"/><Relationship Id="rId26" Type="http://schemas.openxmlformats.org/officeDocument/2006/relationships/hyperlink" Target="mailto:zhujiong@inspur.com" TargetMode="External"/><Relationship Id="rId3" Type="http://schemas.openxmlformats.org/officeDocument/2006/relationships/hyperlink" Target="mailto:lixialc@inspur.com" TargetMode="External"/><Relationship Id="rId21" Type="http://schemas.openxmlformats.org/officeDocument/2006/relationships/hyperlink" Target="mailto:zhengdw@inspur.com" TargetMode="External"/><Relationship Id="rId34" Type="http://schemas.openxmlformats.org/officeDocument/2006/relationships/ctrlProp" Target="../ctrlProps/ctrlProp2.xml"/><Relationship Id="rId7" Type="http://schemas.openxmlformats.org/officeDocument/2006/relationships/hyperlink" Target="mailto:liuxinhb@inspur.com" TargetMode="External"/><Relationship Id="rId12" Type="http://schemas.openxmlformats.org/officeDocument/2006/relationships/hyperlink" Target="mailto:liyz@inspur.com" TargetMode="External"/><Relationship Id="rId17" Type="http://schemas.openxmlformats.org/officeDocument/2006/relationships/hyperlink" Target="mailto:caomi@inspur.com;dumenglan@inspur.com" TargetMode="External"/><Relationship Id="rId25" Type="http://schemas.openxmlformats.org/officeDocument/2006/relationships/hyperlink" Target="mailto:yourui@inspur.com" TargetMode="External"/><Relationship Id="rId33" Type="http://schemas.openxmlformats.org/officeDocument/2006/relationships/vmlDrawing" Target="../drawings/vmlDrawing2.vml"/><Relationship Id="rId2" Type="http://schemas.openxmlformats.org/officeDocument/2006/relationships/hyperlink" Target="mailto:chenng@inspur.com;zhujiong@inspur.com" TargetMode="External"/><Relationship Id="rId16" Type="http://schemas.openxmlformats.org/officeDocument/2006/relationships/hyperlink" Target="mailto:tanhb@inspur.com" TargetMode="External"/><Relationship Id="rId20" Type="http://schemas.openxmlformats.org/officeDocument/2006/relationships/hyperlink" Target="mailto:loupeng@inspur.com" TargetMode="External"/><Relationship Id="rId29" Type="http://schemas.openxmlformats.org/officeDocument/2006/relationships/hyperlink" Target="mailto:guoqiang@inspur.com" TargetMode="External"/><Relationship Id="rId1" Type="http://schemas.openxmlformats.org/officeDocument/2006/relationships/hyperlink" Target="mailto:tanhb@inspur.com" TargetMode="External"/><Relationship Id="rId6" Type="http://schemas.openxmlformats.org/officeDocument/2006/relationships/hyperlink" Target="mailto:kangll@inspur.com" TargetMode="External"/><Relationship Id="rId11" Type="http://schemas.openxmlformats.org/officeDocument/2006/relationships/hyperlink" Target="mailto:guohong@inspur.com" TargetMode="External"/><Relationship Id="rId24" Type="http://schemas.openxmlformats.org/officeDocument/2006/relationships/hyperlink" Target="mailto:liuchuanhui@inspur.com" TargetMode="External"/><Relationship Id="rId32" Type="http://schemas.openxmlformats.org/officeDocument/2006/relationships/drawing" Target="../drawings/drawing2.xml"/><Relationship Id="rId5" Type="http://schemas.openxmlformats.org/officeDocument/2006/relationships/hyperlink" Target="mailto:yumh@inspur.com" TargetMode="External"/><Relationship Id="rId15" Type="http://schemas.openxmlformats.org/officeDocument/2006/relationships/hyperlink" Target="mailto:raosm@inspur.com" TargetMode="External"/><Relationship Id="rId23" Type="http://schemas.openxmlformats.org/officeDocument/2006/relationships/hyperlink" Target="mailto:yangyang1@inspur.com" TargetMode="External"/><Relationship Id="rId28" Type="http://schemas.openxmlformats.org/officeDocument/2006/relationships/hyperlink" Target="mailto:ye_hui@inspur.com" TargetMode="External"/><Relationship Id="rId10" Type="http://schemas.openxmlformats.org/officeDocument/2006/relationships/hyperlink" Target="mailto:zhigh@inspur.com" TargetMode="External"/><Relationship Id="rId19" Type="http://schemas.openxmlformats.org/officeDocument/2006/relationships/hyperlink" Target="mailto:yanglei-sh@inspur.com" TargetMode="External"/><Relationship Id="rId31" Type="http://schemas.openxmlformats.org/officeDocument/2006/relationships/printerSettings" Target="../printerSettings/printerSettings2.bin"/><Relationship Id="rId4" Type="http://schemas.openxmlformats.org/officeDocument/2006/relationships/hyperlink" Target="mailto:fujt@inspur.com" TargetMode="External"/><Relationship Id="rId9" Type="http://schemas.openxmlformats.org/officeDocument/2006/relationships/hyperlink" Target="mailto:yujingfj@inspur.com" TargetMode="External"/><Relationship Id="rId14" Type="http://schemas.openxmlformats.org/officeDocument/2006/relationships/hyperlink" Target="mailto:liumengfang@inspur.com" TargetMode="External"/><Relationship Id="rId22" Type="http://schemas.openxmlformats.org/officeDocument/2006/relationships/hyperlink" Target="mailto:houdj@inspur.com" TargetMode="External"/><Relationship Id="rId27" Type="http://schemas.openxmlformats.org/officeDocument/2006/relationships/hyperlink" Target="mailto:zhangxinjian@inspur.com" TargetMode="External"/><Relationship Id="rId30" Type="http://schemas.openxmlformats.org/officeDocument/2006/relationships/hyperlink" Target="mailto:zhaolj@inspur.com" TargetMode="External"/><Relationship Id="rId8" Type="http://schemas.openxmlformats.org/officeDocument/2006/relationships/hyperlink" Target="mailto:jingyx@inspur.com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mailto:longqi@inspur.com" TargetMode="External"/><Relationship Id="rId18" Type="http://schemas.openxmlformats.org/officeDocument/2006/relationships/hyperlink" Target="mailto:yangxubin@inspur.com" TargetMode="External"/><Relationship Id="rId26" Type="http://schemas.openxmlformats.org/officeDocument/2006/relationships/hyperlink" Target="mailto:zhujiong@inspur.com" TargetMode="External"/><Relationship Id="rId3" Type="http://schemas.openxmlformats.org/officeDocument/2006/relationships/hyperlink" Target="mailto:lixialc@inspur.com" TargetMode="External"/><Relationship Id="rId21" Type="http://schemas.openxmlformats.org/officeDocument/2006/relationships/hyperlink" Target="mailto:zhengdw@inspur.com" TargetMode="External"/><Relationship Id="rId7" Type="http://schemas.openxmlformats.org/officeDocument/2006/relationships/hyperlink" Target="mailto:liuxinhb@inspur.com" TargetMode="External"/><Relationship Id="rId12" Type="http://schemas.openxmlformats.org/officeDocument/2006/relationships/hyperlink" Target="mailto:liyz@inspur.com" TargetMode="External"/><Relationship Id="rId17" Type="http://schemas.openxmlformats.org/officeDocument/2006/relationships/hyperlink" Target="mailto:caomi@inspur.com;dumenglan@inspur.com" TargetMode="External"/><Relationship Id="rId25" Type="http://schemas.openxmlformats.org/officeDocument/2006/relationships/hyperlink" Target="mailto:yourui@inspur.com" TargetMode="External"/><Relationship Id="rId33" Type="http://schemas.openxmlformats.org/officeDocument/2006/relationships/ctrlProp" Target="../ctrlProps/ctrlProp3.xml"/><Relationship Id="rId2" Type="http://schemas.openxmlformats.org/officeDocument/2006/relationships/hyperlink" Target="mailto:chenng@inspur.com;zhujiong@inspur.com" TargetMode="External"/><Relationship Id="rId16" Type="http://schemas.openxmlformats.org/officeDocument/2006/relationships/hyperlink" Target="mailto:tanhb@inspur.com" TargetMode="External"/><Relationship Id="rId20" Type="http://schemas.openxmlformats.org/officeDocument/2006/relationships/hyperlink" Target="mailto:loupeng@inspur.com" TargetMode="External"/><Relationship Id="rId29" Type="http://schemas.openxmlformats.org/officeDocument/2006/relationships/hyperlink" Target="mailto:kangzp@inspur.com;tangjing@inspur.com;" TargetMode="External"/><Relationship Id="rId1" Type="http://schemas.openxmlformats.org/officeDocument/2006/relationships/hyperlink" Target="mailto:tanhb@inspur.com" TargetMode="External"/><Relationship Id="rId6" Type="http://schemas.openxmlformats.org/officeDocument/2006/relationships/hyperlink" Target="mailto:kangll@inspur.com" TargetMode="External"/><Relationship Id="rId11" Type="http://schemas.openxmlformats.org/officeDocument/2006/relationships/hyperlink" Target="mailto:guohong@inspur.com" TargetMode="External"/><Relationship Id="rId24" Type="http://schemas.openxmlformats.org/officeDocument/2006/relationships/hyperlink" Target="mailto:liuchuanhui@inspur.com" TargetMode="External"/><Relationship Id="rId32" Type="http://schemas.openxmlformats.org/officeDocument/2006/relationships/vmlDrawing" Target="../drawings/vmlDrawing3.vml"/><Relationship Id="rId5" Type="http://schemas.openxmlformats.org/officeDocument/2006/relationships/hyperlink" Target="mailto:yumh@inspur.com" TargetMode="External"/><Relationship Id="rId15" Type="http://schemas.openxmlformats.org/officeDocument/2006/relationships/hyperlink" Target="mailto:raosm@inspur.com" TargetMode="External"/><Relationship Id="rId23" Type="http://schemas.openxmlformats.org/officeDocument/2006/relationships/hyperlink" Target="mailto:yangyang1@inspur.com" TargetMode="External"/><Relationship Id="rId28" Type="http://schemas.openxmlformats.org/officeDocument/2006/relationships/hyperlink" Target="mailto:ye_hui@inspur.com" TargetMode="External"/><Relationship Id="rId10" Type="http://schemas.openxmlformats.org/officeDocument/2006/relationships/hyperlink" Target="mailto:zhigh@inspur.com" TargetMode="External"/><Relationship Id="rId19" Type="http://schemas.openxmlformats.org/officeDocument/2006/relationships/hyperlink" Target="mailto:yanglei-sh@inspur.com" TargetMode="External"/><Relationship Id="rId31" Type="http://schemas.openxmlformats.org/officeDocument/2006/relationships/drawing" Target="../drawings/drawing3.xml"/><Relationship Id="rId4" Type="http://schemas.openxmlformats.org/officeDocument/2006/relationships/hyperlink" Target="mailto:fujt@inspur.com" TargetMode="External"/><Relationship Id="rId9" Type="http://schemas.openxmlformats.org/officeDocument/2006/relationships/hyperlink" Target="mailto:yujingfj@inspur.com" TargetMode="External"/><Relationship Id="rId14" Type="http://schemas.openxmlformats.org/officeDocument/2006/relationships/hyperlink" Target="mailto:liumengfang@inspur.com" TargetMode="External"/><Relationship Id="rId22" Type="http://schemas.openxmlformats.org/officeDocument/2006/relationships/hyperlink" Target="mailto:houdj@inspur.com" TargetMode="External"/><Relationship Id="rId27" Type="http://schemas.openxmlformats.org/officeDocument/2006/relationships/hyperlink" Target="mailto:zhangxinjian@inspur.com" TargetMode="External"/><Relationship Id="rId30" Type="http://schemas.openxmlformats.org/officeDocument/2006/relationships/printerSettings" Target="../printerSettings/printerSettings3.bin"/><Relationship Id="rId8" Type="http://schemas.openxmlformats.org/officeDocument/2006/relationships/hyperlink" Target="mailto:jingyx@inspur.com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mailto:liyz@inspur.com" TargetMode="External"/><Relationship Id="rId18" Type="http://schemas.openxmlformats.org/officeDocument/2006/relationships/hyperlink" Target="mailto:caomi@inspur.com;dumenglan@inspur.com" TargetMode="External"/><Relationship Id="rId26" Type="http://schemas.openxmlformats.org/officeDocument/2006/relationships/hyperlink" Target="mailto:yourui@inspur.com" TargetMode="External"/><Relationship Id="rId3" Type="http://schemas.openxmlformats.org/officeDocument/2006/relationships/hyperlink" Target="mailto:chenng@inspur.com;zhujiong@inspur.com" TargetMode="External"/><Relationship Id="rId21" Type="http://schemas.openxmlformats.org/officeDocument/2006/relationships/hyperlink" Target="mailto:loupeng@inspur.com" TargetMode="External"/><Relationship Id="rId34" Type="http://schemas.openxmlformats.org/officeDocument/2006/relationships/vmlDrawing" Target="../drawings/vmlDrawing4.vml"/><Relationship Id="rId7" Type="http://schemas.openxmlformats.org/officeDocument/2006/relationships/hyperlink" Target="mailto:kangll@inspur.com" TargetMode="External"/><Relationship Id="rId12" Type="http://schemas.openxmlformats.org/officeDocument/2006/relationships/hyperlink" Target="mailto:guohong@inspur.com" TargetMode="External"/><Relationship Id="rId17" Type="http://schemas.openxmlformats.org/officeDocument/2006/relationships/hyperlink" Target="mailto:tanhb@inspur.com" TargetMode="External"/><Relationship Id="rId25" Type="http://schemas.openxmlformats.org/officeDocument/2006/relationships/hyperlink" Target="mailto:liuchuanhui@inspur.com" TargetMode="External"/><Relationship Id="rId33" Type="http://schemas.openxmlformats.org/officeDocument/2006/relationships/drawing" Target="../drawings/drawing4.xml"/><Relationship Id="rId2" Type="http://schemas.openxmlformats.org/officeDocument/2006/relationships/hyperlink" Target="mailto:tanhb@inspur.com" TargetMode="External"/><Relationship Id="rId16" Type="http://schemas.openxmlformats.org/officeDocument/2006/relationships/hyperlink" Target="mailto:raosm@inspur.com" TargetMode="External"/><Relationship Id="rId20" Type="http://schemas.openxmlformats.org/officeDocument/2006/relationships/hyperlink" Target="mailto:yanglei-sh@inspur.com" TargetMode="External"/><Relationship Id="rId29" Type="http://schemas.openxmlformats.org/officeDocument/2006/relationships/hyperlink" Target="mailto:ye_hui@inspur.com" TargetMode="External"/><Relationship Id="rId1" Type="http://schemas.openxmlformats.org/officeDocument/2006/relationships/hyperlink" Target="mailto:kangzp@inspur.com;tangjing@inspur.com" TargetMode="External"/><Relationship Id="rId6" Type="http://schemas.openxmlformats.org/officeDocument/2006/relationships/hyperlink" Target="mailto:yumh@inspur.com" TargetMode="External"/><Relationship Id="rId11" Type="http://schemas.openxmlformats.org/officeDocument/2006/relationships/hyperlink" Target="mailto:zhigh@inspur.com" TargetMode="External"/><Relationship Id="rId24" Type="http://schemas.openxmlformats.org/officeDocument/2006/relationships/hyperlink" Target="mailto:yangyang1@inspur.com" TargetMode="External"/><Relationship Id="rId32" Type="http://schemas.openxmlformats.org/officeDocument/2006/relationships/printerSettings" Target="../printerSettings/printerSettings4.bin"/><Relationship Id="rId5" Type="http://schemas.openxmlformats.org/officeDocument/2006/relationships/hyperlink" Target="mailto:fujt@inspur.com" TargetMode="External"/><Relationship Id="rId15" Type="http://schemas.openxmlformats.org/officeDocument/2006/relationships/hyperlink" Target="mailto:liumengfang@inspur.com" TargetMode="External"/><Relationship Id="rId23" Type="http://schemas.openxmlformats.org/officeDocument/2006/relationships/hyperlink" Target="mailto:houdj@inspur.com" TargetMode="External"/><Relationship Id="rId28" Type="http://schemas.openxmlformats.org/officeDocument/2006/relationships/hyperlink" Target="mailto:zhangxinjian@inspur.com" TargetMode="External"/><Relationship Id="rId10" Type="http://schemas.openxmlformats.org/officeDocument/2006/relationships/hyperlink" Target="mailto:yujingfj@inspur.com" TargetMode="External"/><Relationship Id="rId19" Type="http://schemas.openxmlformats.org/officeDocument/2006/relationships/hyperlink" Target="mailto:yangxubin@inspur.com" TargetMode="External"/><Relationship Id="rId31" Type="http://schemas.openxmlformats.org/officeDocument/2006/relationships/hyperlink" Target="mailto:zhaolj@inspur.com" TargetMode="External"/><Relationship Id="rId4" Type="http://schemas.openxmlformats.org/officeDocument/2006/relationships/hyperlink" Target="mailto:lixialc@inspur.com" TargetMode="External"/><Relationship Id="rId9" Type="http://schemas.openxmlformats.org/officeDocument/2006/relationships/hyperlink" Target="mailto:jingyx@inspur.com" TargetMode="External"/><Relationship Id="rId14" Type="http://schemas.openxmlformats.org/officeDocument/2006/relationships/hyperlink" Target="mailto:longqi@inspur.com" TargetMode="External"/><Relationship Id="rId22" Type="http://schemas.openxmlformats.org/officeDocument/2006/relationships/hyperlink" Target="mailto:zhengdw@inspur.com" TargetMode="External"/><Relationship Id="rId27" Type="http://schemas.openxmlformats.org/officeDocument/2006/relationships/hyperlink" Target="mailto:zhujiong@inspur.com" TargetMode="External"/><Relationship Id="rId30" Type="http://schemas.openxmlformats.org/officeDocument/2006/relationships/hyperlink" Target="mailto:guoqiang@inspur.com" TargetMode="External"/><Relationship Id="rId35" Type="http://schemas.openxmlformats.org/officeDocument/2006/relationships/ctrlProp" Target="../ctrlProps/ctrlProp4.xml"/><Relationship Id="rId8" Type="http://schemas.openxmlformats.org/officeDocument/2006/relationships/hyperlink" Target="mailto:liuxinhb@inspur.com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jingyx@inspur.com" TargetMode="External"/><Relationship Id="rId13" Type="http://schemas.openxmlformats.org/officeDocument/2006/relationships/hyperlink" Target="mailto:longqi@inspur.com" TargetMode="External"/><Relationship Id="rId18" Type="http://schemas.openxmlformats.org/officeDocument/2006/relationships/hyperlink" Target="mailto:yangxubin@inspur.com" TargetMode="External"/><Relationship Id="rId26" Type="http://schemas.openxmlformats.org/officeDocument/2006/relationships/hyperlink" Target="mailto:zhujiong@inspur.com" TargetMode="External"/><Relationship Id="rId3" Type="http://schemas.openxmlformats.org/officeDocument/2006/relationships/hyperlink" Target="mailto:lixialc@inspur.com" TargetMode="External"/><Relationship Id="rId21" Type="http://schemas.openxmlformats.org/officeDocument/2006/relationships/hyperlink" Target="mailto:zhengdw@inspur.com" TargetMode="External"/><Relationship Id="rId7" Type="http://schemas.openxmlformats.org/officeDocument/2006/relationships/hyperlink" Target="mailto:liuxinhb@inspur.com" TargetMode="External"/><Relationship Id="rId12" Type="http://schemas.openxmlformats.org/officeDocument/2006/relationships/hyperlink" Target="mailto:liyz@inspur.com" TargetMode="External"/><Relationship Id="rId17" Type="http://schemas.openxmlformats.org/officeDocument/2006/relationships/hyperlink" Target="mailto:caomi@inspur.com;dumenglan@inspur.com" TargetMode="External"/><Relationship Id="rId25" Type="http://schemas.openxmlformats.org/officeDocument/2006/relationships/hyperlink" Target="mailto:yourui@inspur.com" TargetMode="External"/><Relationship Id="rId2" Type="http://schemas.openxmlformats.org/officeDocument/2006/relationships/hyperlink" Target="mailto:chenng@inspur.com;zhujiong@inspur.com" TargetMode="External"/><Relationship Id="rId16" Type="http://schemas.openxmlformats.org/officeDocument/2006/relationships/hyperlink" Target="mailto:tanhb@inspur.com" TargetMode="External"/><Relationship Id="rId20" Type="http://schemas.openxmlformats.org/officeDocument/2006/relationships/hyperlink" Target="mailto:loupeng@inspur.com" TargetMode="External"/><Relationship Id="rId29" Type="http://schemas.openxmlformats.org/officeDocument/2006/relationships/printerSettings" Target="../printerSettings/printerSettings5.bin"/><Relationship Id="rId1" Type="http://schemas.openxmlformats.org/officeDocument/2006/relationships/hyperlink" Target="mailto:tanhb@inspur.com" TargetMode="External"/><Relationship Id="rId6" Type="http://schemas.openxmlformats.org/officeDocument/2006/relationships/hyperlink" Target="mailto:kangll@inspur.com" TargetMode="External"/><Relationship Id="rId11" Type="http://schemas.openxmlformats.org/officeDocument/2006/relationships/hyperlink" Target="mailto:guohong@inspur.com" TargetMode="External"/><Relationship Id="rId24" Type="http://schemas.openxmlformats.org/officeDocument/2006/relationships/hyperlink" Target="mailto:liuchuanhui@inspur.com" TargetMode="External"/><Relationship Id="rId32" Type="http://schemas.openxmlformats.org/officeDocument/2006/relationships/ctrlProp" Target="../ctrlProps/ctrlProp5.xml"/><Relationship Id="rId5" Type="http://schemas.openxmlformats.org/officeDocument/2006/relationships/hyperlink" Target="mailto:yumh@inspur.com" TargetMode="External"/><Relationship Id="rId15" Type="http://schemas.openxmlformats.org/officeDocument/2006/relationships/hyperlink" Target="mailto:raosm@inspur.com" TargetMode="External"/><Relationship Id="rId23" Type="http://schemas.openxmlformats.org/officeDocument/2006/relationships/hyperlink" Target="mailto:yangyang1@inspur.com" TargetMode="External"/><Relationship Id="rId28" Type="http://schemas.openxmlformats.org/officeDocument/2006/relationships/hyperlink" Target="mailto:ye_hui@inspur.com" TargetMode="External"/><Relationship Id="rId10" Type="http://schemas.openxmlformats.org/officeDocument/2006/relationships/hyperlink" Target="mailto:zhigh@inspur.com" TargetMode="External"/><Relationship Id="rId19" Type="http://schemas.openxmlformats.org/officeDocument/2006/relationships/hyperlink" Target="mailto:yanglei-sh@inspur.com" TargetMode="External"/><Relationship Id="rId31" Type="http://schemas.openxmlformats.org/officeDocument/2006/relationships/vmlDrawing" Target="../drawings/vmlDrawing5.vml"/><Relationship Id="rId4" Type="http://schemas.openxmlformats.org/officeDocument/2006/relationships/hyperlink" Target="mailto:fujt@inspur.com" TargetMode="External"/><Relationship Id="rId9" Type="http://schemas.openxmlformats.org/officeDocument/2006/relationships/hyperlink" Target="mailto:yujingfj@inspur.com" TargetMode="External"/><Relationship Id="rId14" Type="http://schemas.openxmlformats.org/officeDocument/2006/relationships/hyperlink" Target="mailto:liumengfang@inspur.com" TargetMode="External"/><Relationship Id="rId22" Type="http://schemas.openxmlformats.org/officeDocument/2006/relationships/hyperlink" Target="mailto:houdj@inspur.com" TargetMode="External"/><Relationship Id="rId27" Type="http://schemas.openxmlformats.org/officeDocument/2006/relationships/hyperlink" Target="mailto:zhangxinjian@inspur.com" TargetMode="External"/><Relationship Id="rId30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zhigh@inspur.com" TargetMode="External"/><Relationship Id="rId13" Type="http://schemas.openxmlformats.org/officeDocument/2006/relationships/hyperlink" Target="mailto:tanhb@inspur.com" TargetMode="External"/><Relationship Id="rId18" Type="http://schemas.openxmlformats.org/officeDocument/2006/relationships/hyperlink" Target="mailto:yangyang1@inspur.com" TargetMode="External"/><Relationship Id="rId3" Type="http://schemas.openxmlformats.org/officeDocument/2006/relationships/hyperlink" Target="mailto:fujt@inspur.com" TargetMode="External"/><Relationship Id="rId21" Type="http://schemas.openxmlformats.org/officeDocument/2006/relationships/drawing" Target="../drawings/drawing6.xml"/><Relationship Id="rId7" Type="http://schemas.openxmlformats.org/officeDocument/2006/relationships/hyperlink" Target="mailto:yujingfj@inspur.com" TargetMode="External"/><Relationship Id="rId12" Type="http://schemas.openxmlformats.org/officeDocument/2006/relationships/hyperlink" Target="mailto:raosm@inspur.com" TargetMode="External"/><Relationship Id="rId17" Type="http://schemas.openxmlformats.org/officeDocument/2006/relationships/hyperlink" Target="mailto:houdj@inspur.com" TargetMode="External"/><Relationship Id="rId2" Type="http://schemas.openxmlformats.org/officeDocument/2006/relationships/hyperlink" Target="mailto:lixialc@inspur.com" TargetMode="External"/><Relationship Id="rId16" Type="http://schemas.openxmlformats.org/officeDocument/2006/relationships/hyperlink" Target="mailto:zhengdw@inspur.com" TargetMode="External"/><Relationship Id="rId20" Type="http://schemas.openxmlformats.org/officeDocument/2006/relationships/printerSettings" Target="../printerSettings/printerSettings6.bin"/><Relationship Id="rId1" Type="http://schemas.openxmlformats.org/officeDocument/2006/relationships/hyperlink" Target="mailto:tanhb@inspur.com" TargetMode="External"/><Relationship Id="rId6" Type="http://schemas.openxmlformats.org/officeDocument/2006/relationships/hyperlink" Target="mailto:jingyx@inspur.com" TargetMode="External"/><Relationship Id="rId11" Type="http://schemas.openxmlformats.org/officeDocument/2006/relationships/hyperlink" Target="mailto:liumengfang@inspur.com" TargetMode="External"/><Relationship Id="rId5" Type="http://schemas.openxmlformats.org/officeDocument/2006/relationships/hyperlink" Target="mailto:kangll@inspur.com" TargetMode="External"/><Relationship Id="rId15" Type="http://schemas.openxmlformats.org/officeDocument/2006/relationships/hyperlink" Target="mailto:loupeng@inspur.com" TargetMode="External"/><Relationship Id="rId23" Type="http://schemas.openxmlformats.org/officeDocument/2006/relationships/ctrlProp" Target="../ctrlProps/ctrlProp6.xml"/><Relationship Id="rId10" Type="http://schemas.openxmlformats.org/officeDocument/2006/relationships/hyperlink" Target="mailto:longqi@inspur.com" TargetMode="External"/><Relationship Id="rId19" Type="http://schemas.openxmlformats.org/officeDocument/2006/relationships/hyperlink" Target="mailto:yourui@inspur.com" TargetMode="External"/><Relationship Id="rId4" Type="http://schemas.openxmlformats.org/officeDocument/2006/relationships/hyperlink" Target="mailto:yumh@inspur.com" TargetMode="External"/><Relationship Id="rId9" Type="http://schemas.openxmlformats.org/officeDocument/2006/relationships/hyperlink" Target="mailto:liyz@inspur.com" TargetMode="External"/><Relationship Id="rId14" Type="http://schemas.openxmlformats.org/officeDocument/2006/relationships/hyperlink" Target="mailto:yangxubin@inspur.com" TargetMode="External"/><Relationship Id="rId22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mailto:liumengfang@inspur.com" TargetMode="External"/><Relationship Id="rId13" Type="http://schemas.openxmlformats.org/officeDocument/2006/relationships/hyperlink" Target="mailto:zhengdw@inspur.com" TargetMode="External"/><Relationship Id="rId18" Type="http://schemas.openxmlformats.org/officeDocument/2006/relationships/vmlDrawing" Target="../drawings/vmlDrawing7.vml"/><Relationship Id="rId3" Type="http://schemas.openxmlformats.org/officeDocument/2006/relationships/hyperlink" Target="mailto:yumh@inspur.com" TargetMode="External"/><Relationship Id="rId7" Type="http://schemas.openxmlformats.org/officeDocument/2006/relationships/hyperlink" Target="mailto:liyz@inspur.com" TargetMode="External"/><Relationship Id="rId12" Type="http://schemas.openxmlformats.org/officeDocument/2006/relationships/hyperlink" Target="mailto:loupeng@inspur.com" TargetMode="External"/><Relationship Id="rId17" Type="http://schemas.openxmlformats.org/officeDocument/2006/relationships/drawing" Target="../drawings/drawing7.xml"/><Relationship Id="rId2" Type="http://schemas.openxmlformats.org/officeDocument/2006/relationships/hyperlink" Target="mailto:fujt@inspur.com" TargetMode="External"/><Relationship Id="rId16" Type="http://schemas.openxmlformats.org/officeDocument/2006/relationships/printerSettings" Target="../printerSettings/printerSettings7.bin"/><Relationship Id="rId1" Type="http://schemas.openxmlformats.org/officeDocument/2006/relationships/hyperlink" Target="mailto:tanhb@inspur.com" TargetMode="External"/><Relationship Id="rId6" Type="http://schemas.openxmlformats.org/officeDocument/2006/relationships/hyperlink" Target="mailto:yujingfj@inspur.com" TargetMode="External"/><Relationship Id="rId11" Type="http://schemas.openxmlformats.org/officeDocument/2006/relationships/hyperlink" Target="mailto:yangxubin@inspur.com" TargetMode="External"/><Relationship Id="rId5" Type="http://schemas.openxmlformats.org/officeDocument/2006/relationships/hyperlink" Target="mailto:jingyx@inspur.com" TargetMode="External"/><Relationship Id="rId15" Type="http://schemas.openxmlformats.org/officeDocument/2006/relationships/hyperlink" Target="mailto:yourui@inspur.com" TargetMode="External"/><Relationship Id="rId10" Type="http://schemas.openxmlformats.org/officeDocument/2006/relationships/hyperlink" Target="mailto:tanhb@inspur.com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mailto:kangll@inspur.com" TargetMode="External"/><Relationship Id="rId9" Type="http://schemas.openxmlformats.org/officeDocument/2006/relationships/hyperlink" Target="mailto:raosm@inspur.com" TargetMode="External"/><Relationship Id="rId14" Type="http://schemas.openxmlformats.org/officeDocument/2006/relationships/hyperlink" Target="mailto:yangyang1@inspur.com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hyperlink" Target="mailto:ye_hui@inspur.com" TargetMode="External"/><Relationship Id="rId7" Type="http://schemas.openxmlformats.org/officeDocument/2006/relationships/vmlDrawing" Target="../drawings/vmlDrawing8.vml"/><Relationship Id="rId2" Type="http://schemas.openxmlformats.org/officeDocument/2006/relationships/hyperlink" Target="mailto:yanglei-sh@inspur.com" TargetMode="External"/><Relationship Id="rId1" Type="http://schemas.openxmlformats.org/officeDocument/2006/relationships/hyperlink" Target="mailto:caomi@inspur.com;dumenglan@inspur.com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mailto:chiyk@inspur.com;kangzp@inspur.com;tangjing@inspur.com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S45"/>
  <sheetViews>
    <sheetView showGridLines="0" zoomScale="90" zoomScaleNormal="9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N3" sqref="N3:AS45"/>
    </sheetView>
  </sheetViews>
  <sheetFormatPr defaultRowHeight="16.5" customHeight="1" outlineLevelCol="1" x14ac:dyDescent="0.15"/>
  <cols>
    <col min="1" max="1" width="8.125" style="24" customWidth="1"/>
    <col min="2" max="2" width="12.125" style="24" customWidth="1"/>
    <col min="3" max="3" width="4.25" style="26" customWidth="1"/>
    <col min="4" max="4" width="8.75" style="26" customWidth="1"/>
    <col min="5" max="5" width="6.5" style="24" customWidth="1"/>
    <col min="6" max="6" width="7.5" style="29" customWidth="1"/>
    <col min="7" max="7" width="3.875" style="40" customWidth="1"/>
    <col min="8" max="8" width="2.625" style="40" customWidth="1"/>
    <col min="9" max="9" width="7.625" style="40" customWidth="1"/>
    <col min="10" max="10" width="4.875" style="40" customWidth="1"/>
    <col min="11" max="11" width="5" style="26" customWidth="1"/>
    <col min="12" max="12" width="4.25" style="26" customWidth="1"/>
    <col min="13" max="13" width="7.75" style="26" customWidth="1"/>
    <col min="14" max="14" width="4.5" style="41" customWidth="1"/>
    <col min="15" max="15" width="6.375" style="29" customWidth="1"/>
    <col min="16" max="16" width="10.75" style="26" customWidth="1"/>
    <col min="17" max="17" width="5.25" style="42" customWidth="1"/>
    <col min="18" max="18" width="10.75" style="26" hidden="1" customWidth="1"/>
    <col min="19" max="19" width="4.5" style="43" customWidth="1"/>
    <col min="20" max="20" width="5.5" style="29" customWidth="1"/>
    <col min="21" max="21" width="5.75" style="26" customWidth="1"/>
    <col min="22" max="22" width="3.25" style="26" hidden="1" customWidth="1"/>
    <col min="23" max="23" width="12.625" style="26" customWidth="1"/>
    <col min="24" max="24" width="4.625" style="25" customWidth="1"/>
    <col min="25" max="25" width="12" style="26" hidden="1" customWidth="1"/>
    <col min="26" max="26" width="5.25" style="24" customWidth="1"/>
    <col min="27" max="27" width="8" style="26" customWidth="1"/>
    <col min="28" max="28" width="7.25" style="26" hidden="1" customWidth="1"/>
    <col min="29" max="29" width="12.25" style="26" hidden="1" customWidth="1"/>
    <col min="30" max="30" width="5.125" style="25" customWidth="1"/>
    <col min="31" max="31" width="8.25" style="26" hidden="1" customWidth="1"/>
    <col min="32" max="32" width="7" style="26" customWidth="1" outlineLevel="1"/>
    <col min="33" max="33" width="3.875" style="25" customWidth="1" outlineLevel="1"/>
    <col min="34" max="34" width="5.125" style="25" customWidth="1" outlineLevel="1"/>
    <col min="35" max="35" width="3.5" style="26" customWidth="1" outlineLevel="1"/>
    <col min="36" max="36" width="2.75" style="26" customWidth="1" outlineLevel="1"/>
    <col min="37" max="37" width="10.875" style="26" customWidth="1" outlineLevel="1"/>
    <col min="38" max="38" width="7.75" style="29" customWidth="1" outlineLevel="1"/>
    <col min="39" max="39" width="5.625" style="25" customWidth="1" outlineLevel="1"/>
    <col min="40" max="40" width="7.5" style="26" customWidth="1" outlineLevel="1"/>
    <col min="41" max="41" width="12.875" style="43" customWidth="1" outlineLevel="1"/>
    <col min="42" max="42" width="6.25" style="26" customWidth="1" outlineLevel="1"/>
    <col min="43" max="43" width="7" style="26" customWidth="1" outlineLevel="1"/>
    <col min="44" max="44" width="14.5" style="26" customWidth="1" outlineLevel="1"/>
    <col min="45" max="45" width="9" style="26" customWidth="1" outlineLevel="1"/>
    <col min="46" max="16384" width="9" style="26"/>
  </cols>
  <sheetData>
    <row r="1" spans="1:45" s="29" customFormat="1" ht="16.5" customHeight="1" x14ac:dyDescent="0.35">
      <c r="A1" s="66" t="s">
        <v>3</v>
      </c>
      <c r="B1" s="66" t="s">
        <v>4</v>
      </c>
      <c r="C1" s="14" t="s">
        <v>0</v>
      </c>
      <c r="D1" s="14" t="s">
        <v>1</v>
      </c>
      <c r="E1" s="66" t="s">
        <v>2</v>
      </c>
      <c r="F1" s="14" t="s">
        <v>6</v>
      </c>
      <c r="G1" s="14"/>
      <c r="H1" s="14" t="s">
        <v>188</v>
      </c>
      <c r="I1" s="14" t="s">
        <v>271</v>
      </c>
      <c r="J1" s="14" t="s">
        <v>0</v>
      </c>
      <c r="K1" s="14" t="s">
        <v>245</v>
      </c>
      <c r="L1" s="14" t="s">
        <v>290</v>
      </c>
      <c r="M1" s="14" t="s">
        <v>291</v>
      </c>
      <c r="N1" s="10" t="s">
        <v>113</v>
      </c>
      <c r="O1" s="10" t="s">
        <v>158</v>
      </c>
      <c r="P1" s="11" t="s">
        <v>8</v>
      </c>
      <c r="Q1" s="12" t="s">
        <v>436</v>
      </c>
      <c r="R1" s="10" t="s">
        <v>9</v>
      </c>
      <c r="S1" s="51" t="s">
        <v>140</v>
      </c>
      <c r="T1" s="13" t="s">
        <v>156</v>
      </c>
      <c r="U1" s="13" t="s">
        <v>273</v>
      </c>
      <c r="V1" s="13" t="s">
        <v>141</v>
      </c>
      <c r="W1" s="13" t="s">
        <v>63</v>
      </c>
      <c r="X1" s="44" t="s">
        <v>142</v>
      </c>
      <c r="Y1" s="13" t="s">
        <v>9</v>
      </c>
      <c r="Z1" s="66" t="s">
        <v>5</v>
      </c>
      <c r="AA1" s="14" t="s">
        <v>157</v>
      </c>
      <c r="AB1" s="14" t="s">
        <v>62</v>
      </c>
      <c r="AC1" s="14" t="s">
        <v>63</v>
      </c>
      <c r="AD1" s="55" t="s">
        <v>64</v>
      </c>
      <c r="AE1" s="14" t="s">
        <v>159</v>
      </c>
      <c r="AF1" s="14" t="s">
        <v>243</v>
      </c>
      <c r="AG1" s="55" t="s">
        <v>244</v>
      </c>
      <c r="AH1" s="55" t="s">
        <v>269</v>
      </c>
      <c r="AI1" s="27" t="s">
        <v>183</v>
      </c>
      <c r="AJ1" s="14"/>
      <c r="AK1" s="14" t="s">
        <v>5</v>
      </c>
      <c r="AL1" s="14" t="s">
        <v>259</v>
      </c>
      <c r="AM1" s="55" t="s">
        <v>260</v>
      </c>
      <c r="AN1" s="14" t="s">
        <v>262</v>
      </c>
      <c r="AO1" s="28" t="s">
        <v>301</v>
      </c>
      <c r="AP1" s="14"/>
      <c r="AQ1" s="14"/>
      <c r="AR1" s="14"/>
      <c r="AS1" s="14"/>
    </row>
    <row r="2" spans="1:45" ht="16.5" customHeight="1" x14ac:dyDescent="0.35">
      <c r="A2" s="15" t="str">
        <f t="shared" ref="A2:A44" si="0">IF(ISBLANK(X2),"",X2)</f>
        <v>shenfh@inspur.com</v>
      </c>
      <c r="B2" s="15" t="str">
        <f>Q2&amp;$L$2&amp;AH2</f>
        <v>shenfh@inspur.com;;shenfh@inspur.com;</v>
      </c>
      <c r="C2" s="16" t="str">
        <f>$J$2</f>
        <v>云服务集团5月业务数据</v>
      </c>
      <c r="D2" s="17" t="str">
        <f>U2&amp;$M$2</f>
        <v>A总，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2" s="15" t="str">
        <f>"F:\工作\3浪潮云服务\市场部\本次发送\工作表合并\"&amp;F2&amp;".xlsx"</f>
        <v>F:\工作\3浪潮云服务\市场部\本次发送\工作表合并\测试.xlsx</v>
      </c>
      <c r="F2" s="57" t="s">
        <v>7</v>
      </c>
      <c r="G2" s="30" t="s">
        <v>183</v>
      </c>
      <c r="H2" s="60">
        <v>1</v>
      </c>
      <c r="I2" s="60"/>
      <c r="J2" s="31" t="s">
        <v>319</v>
      </c>
      <c r="K2" s="16" t="s">
        <v>246</v>
      </c>
      <c r="L2" s="16" t="s">
        <v>258</v>
      </c>
      <c r="M2" s="32" t="s">
        <v>426</v>
      </c>
      <c r="N2" s="5" t="s">
        <v>174</v>
      </c>
      <c r="O2" s="6" t="s">
        <v>184</v>
      </c>
      <c r="P2" s="7">
        <v>15589965595</v>
      </c>
      <c r="Q2" s="25" t="s">
        <v>299</v>
      </c>
      <c r="R2" s="6"/>
      <c r="S2" s="52"/>
      <c r="T2" s="9" t="s">
        <v>186</v>
      </c>
      <c r="U2" s="9" t="s">
        <v>274</v>
      </c>
      <c r="V2" s="8"/>
      <c r="W2" s="45">
        <v>15589965595</v>
      </c>
      <c r="X2" s="45" t="s">
        <v>299</v>
      </c>
      <c r="Y2" s="9"/>
      <c r="Z2" s="67"/>
      <c r="AA2" s="33" t="s">
        <v>185</v>
      </c>
      <c r="AB2" s="62" t="s">
        <v>183</v>
      </c>
      <c r="AC2" s="33">
        <v>15589965595</v>
      </c>
      <c r="AD2" s="23" t="s">
        <v>299</v>
      </c>
      <c r="AE2" s="34"/>
      <c r="AF2" s="63" t="s">
        <v>183</v>
      </c>
      <c r="AG2" s="56"/>
      <c r="AH2" s="56" t="str">
        <f>AM2&amp;";"&amp;AD2&amp;";"&amp;AG2</f>
        <v>;shenfh@inspur.com;</v>
      </c>
      <c r="AI2" s="35" t="s">
        <v>183</v>
      </c>
      <c r="AJ2" s="35" t="s">
        <v>183</v>
      </c>
      <c r="AK2" s="58"/>
      <c r="AL2" s="37"/>
      <c r="AM2" s="23"/>
      <c r="AN2" s="19"/>
      <c r="AO2" s="20"/>
      <c r="AP2" s="19"/>
      <c r="AQ2" s="19"/>
      <c r="AR2" s="19"/>
      <c r="AS2" s="19"/>
    </row>
    <row r="3" spans="1:45" ht="16.5" customHeight="1" x14ac:dyDescent="0.35">
      <c r="A3" s="18" t="str">
        <f t="shared" si="0"/>
        <v>zhaoww@inspur.com</v>
      </c>
      <c r="B3" s="18" t="str">
        <f t="shared" ref="B3:B44" si="1">Q3&amp;$L$2&amp;AH3&amp;$L$2&amp;$K$2</f>
        <v>zhangge@inspur.com;;zhuln@inspur.com;;kangzp@inspur.com;tangjing@inspur.com;shenfh@inspur.com</v>
      </c>
      <c r="C3" s="19" t="str">
        <f t="shared" ref="C3:C45" si="2">$J$2</f>
        <v>云服务集团5月业务数据</v>
      </c>
      <c r="D3" s="20" t="str">
        <f t="shared" ref="D3:D44" si="3">U3&amp;$M$2</f>
        <v>赵总，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3" s="15" t="str">
        <f t="shared" ref="E3:E45" si="4">"F:\工作\3浪潮云服务\市场部\本次发送\工作表合并\"&amp;F3&amp;".xlsx"</f>
        <v>F:\工作\3浪潮云服务\市场部\本次发送\工作表合并\山东区.xlsx</v>
      </c>
      <c r="F3" s="69" t="s">
        <v>365</v>
      </c>
      <c r="G3" s="30"/>
      <c r="H3" s="61">
        <f>IF(ISERROR(VLOOKUP(F3,I:I,1,0)),"",1)</f>
        <v>1</v>
      </c>
      <c r="I3" s="61"/>
      <c r="J3" s="36"/>
      <c r="M3" s="59" t="s">
        <v>318</v>
      </c>
      <c r="N3" s="46" t="s">
        <v>65</v>
      </c>
      <c r="O3" s="1" t="s">
        <v>40</v>
      </c>
      <c r="P3" s="1">
        <v>13305319906</v>
      </c>
      <c r="Q3" s="23" t="s">
        <v>41</v>
      </c>
      <c r="R3" s="21"/>
      <c r="S3" s="53" t="s">
        <v>443</v>
      </c>
      <c r="T3" s="37" t="s">
        <v>150</v>
      </c>
      <c r="U3" s="50" t="s">
        <v>275</v>
      </c>
      <c r="V3" s="19" t="s">
        <v>165</v>
      </c>
      <c r="W3" s="19">
        <v>15805316658</v>
      </c>
      <c r="X3" s="23" t="s">
        <v>304</v>
      </c>
      <c r="Y3" s="19"/>
      <c r="Z3" s="68" t="s">
        <v>443</v>
      </c>
      <c r="AA3" s="37" t="s">
        <v>444</v>
      </c>
      <c r="AB3" s="19" t="s">
        <v>66</v>
      </c>
      <c r="AC3" s="19">
        <v>18905310812</v>
      </c>
      <c r="AD3" s="23" t="s">
        <v>175</v>
      </c>
      <c r="AE3" s="19"/>
      <c r="AF3" s="64" t="s">
        <v>183</v>
      </c>
      <c r="AG3" s="23"/>
      <c r="AH3" s="23" t="str">
        <f t="shared" ref="AH3:AH44" si="5">AM3&amp;";"&amp;AD3&amp;";"&amp;AG3</f>
        <v>;zhuln@inspur.com;</v>
      </c>
      <c r="AI3" s="35" t="s">
        <v>183</v>
      </c>
      <c r="AJ3" s="35" t="s">
        <v>183</v>
      </c>
      <c r="AK3" s="54" t="s">
        <v>65</v>
      </c>
      <c r="AL3" s="37"/>
      <c r="AM3" s="23"/>
      <c r="AN3" s="19"/>
      <c r="AO3" s="20"/>
      <c r="AP3" s="37" t="s">
        <v>190</v>
      </c>
      <c r="AQ3" s="19" t="s">
        <v>217</v>
      </c>
      <c r="AR3" s="19"/>
      <c r="AS3" s="19"/>
    </row>
    <row r="4" spans="1:45" ht="16.5" customHeight="1" x14ac:dyDescent="0.35">
      <c r="A4" s="18" t="str">
        <f t="shared" si="0"/>
        <v>yangxubin@inspur.com</v>
      </c>
      <c r="B4" s="18" t="str">
        <f t="shared" si="1"/>
        <v>sunhb@inspur.com;;siyj@inspur.com;xuwenjun@inspur.com;kangzp@inspur.com;tangjing@inspur.com;shenfh@inspur.com</v>
      </c>
      <c r="C4" s="19" t="str">
        <f t="shared" si="2"/>
        <v>云服务集团5月业务数据</v>
      </c>
      <c r="D4" s="20" t="str">
        <f t="shared" si="3"/>
        <v>杨总，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4" s="56" t="str">
        <f t="shared" si="4"/>
        <v>F:\工作\3浪潮云服务\市场部\本次发送\工作表合并\广东区.xlsx</v>
      </c>
      <c r="F4" s="70" t="s">
        <v>366</v>
      </c>
      <c r="G4" s="30"/>
      <c r="H4" s="61">
        <f t="shared" ref="H4:H45" si="6">IF(ISERROR(VLOOKUP(F4,I:I,1,0)),"",1)</f>
        <v>1</v>
      </c>
      <c r="I4" s="78" t="s">
        <v>365</v>
      </c>
      <c r="J4" s="36"/>
      <c r="M4" s="59" t="s">
        <v>317</v>
      </c>
      <c r="N4" s="46" t="s">
        <v>67</v>
      </c>
      <c r="O4" s="1" t="s">
        <v>14</v>
      </c>
      <c r="P4" s="1">
        <v>13705316901</v>
      </c>
      <c r="Q4" s="23" t="s">
        <v>15</v>
      </c>
      <c r="R4" s="21"/>
      <c r="S4" s="53" t="s">
        <v>445</v>
      </c>
      <c r="T4" s="37" t="s">
        <v>402</v>
      </c>
      <c r="U4" s="50" t="s">
        <v>403</v>
      </c>
      <c r="V4" s="19"/>
      <c r="W4" s="19">
        <v>13332883876</v>
      </c>
      <c r="X4" s="23" t="s">
        <v>401</v>
      </c>
      <c r="Y4" s="19"/>
      <c r="Z4" s="68" t="s">
        <v>445</v>
      </c>
      <c r="AA4" s="37" t="s">
        <v>446</v>
      </c>
      <c r="AB4" s="19" t="s">
        <v>68</v>
      </c>
      <c r="AC4" s="19">
        <v>13711668336</v>
      </c>
      <c r="AD4" s="23" t="s">
        <v>69</v>
      </c>
      <c r="AE4" s="19"/>
      <c r="AF4" s="37" t="s">
        <v>191</v>
      </c>
      <c r="AG4" s="23" t="s">
        <v>218</v>
      </c>
      <c r="AH4" s="23" t="str">
        <f t="shared" si="5"/>
        <v>;siyj@inspur.com;xuwenjun@inspur.com</v>
      </c>
      <c r="AI4" s="35" t="s">
        <v>183</v>
      </c>
      <c r="AJ4" s="35" t="s">
        <v>183</v>
      </c>
      <c r="AK4" s="54" t="s">
        <v>67</v>
      </c>
      <c r="AL4" s="37"/>
      <c r="AM4" s="23"/>
      <c r="AN4" s="19"/>
      <c r="AO4" s="20"/>
      <c r="AP4" s="37"/>
      <c r="AQ4" s="19"/>
      <c r="AR4" s="19"/>
      <c r="AS4" s="19"/>
    </row>
    <row r="5" spans="1:45" ht="16.5" customHeight="1" x14ac:dyDescent="0.35">
      <c r="A5" s="18" t="str">
        <f t="shared" si="0"/>
        <v>baochx@inspur.com</v>
      </c>
      <c r="B5" s="18" t="str">
        <f t="shared" si="1"/>
        <v>sunyzh@inspur.com;;feily@inspur.com;;kangzp@inspur.com;tangjing@inspur.com;shenfh@inspur.com</v>
      </c>
      <c r="C5" s="19" t="str">
        <f t="shared" si="2"/>
        <v>云服务集团5月业务数据</v>
      </c>
      <c r="D5" s="20" t="str">
        <f t="shared" si="3"/>
        <v>包总，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5" s="56" t="str">
        <f t="shared" si="4"/>
        <v>F:\工作\3浪潮云服务\市场部\本次发送\工作表合并\江苏区.xlsx</v>
      </c>
      <c r="F5" s="70" t="s">
        <v>367</v>
      </c>
      <c r="G5" s="30"/>
      <c r="H5" s="61">
        <f t="shared" si="6"/>
        <v>1</v>
      </c>
      <c r="I5" s="78" t="s">
        <v>366</v>
      </c>
      <c r="J5" s="36"/>
      <c r="M5" s="59" t="s">
        <v>292</v>
      </c>
      <c r="N5" s="46" t="s">
        <v>70</v>
      </c>
      <c r="O5" s="1" t="s">
        <v>46</v>
      </c>
      <c r="P5" s="1">
        <v>18660106708</v>
      </c>
      <c r="Q5" s="23" t="s">
        <v>47</v>
      </c>
      <c r="R5" s="21"/>
      <c r="S5" s="53" t="s">
        <v>139</v>
      </c>
      <c r="T5" s="37" t="s">
        <v>189</v>
      </c>
      <c r="U5" s="50" t="s">
        <v>276</v>
      </c>
      <c r="V5" s="19" t="s">
        <v>165</v>
      </c>
      <c r="W5" s="19">
        <v>13770728288</v>
      </c>
      <c r="X5" s="23" t="s">
        <v>305</v>
      </c>
      <c r="Y5" s="19"/>
      <c r="Z5" s="68" t="s">
        <v>447</v>
      </c>
      <c r="AA5" s="37" t="s">
        <v>448</v>
      </c>
      <c r="AB5" s="65" t="s">
        <v>183</v>
      </c>
      <c r="AC5" s="19">
        <v>13218035620</v>
      </c>
      <c r="AD5" s="23" t="s">
        <v>176</v>
      </c>
      <c r="AE5" s="19"/>
      <c r="AF5" s="37"/>
      <c r="AG5" s="23" t="s">
        <v>183</v>
      </c>
      <c r="AH5" s="23" t="str">
        <f t="shared" si="5"/>
        <v>;feily@inspur.com;</v>
      </c>
      <c r="AI5" s="35" t="s">
        <v>183</v>
      </c>
      <c r="AJ5" s="35" t="s">
        <v>183</v>
      </c>
      <c r="AK5" s="54" t="s">
        <v>139</v>
      </c>
      <c r="AL5" s="37"/>
      <c r="AM5" s="23"/>
      <c r="AN5" s="19"/>
      <c r="AO5" s="20"/>
      <c r="AP5" s="37"/>
      <c r="AQ5" s="19"/>
      <c r="AR5" s="19"/>
      <c r="AS5" s="19"/>
    </row>
    <row r="6" spans="1:45" ht="16.5" customHeight="1" x14ac:dyDescent="0.35">
      <c r="A6" s="18" t="str">
        <f t="shared" si="0"/>
        <v>xygy@inspur.com</v>
      </c>
      <c r="B6" s="18" t="str">
        <f t="shared" si="1"/>
        <v>chenchh@inspur.com;;liu_lin@inspur.com;;kangzp@inspur.com;tangjing@inspur.com;shenfh@inspur.com</v>
      </c>
      <c r="C6" s="19" t="str">
        <f t="shared" si="2"/>
        <v>云服务集团5月业务数据</v>
      </c>
      <c r="D6" s="20" t="str">
        <f t="shared" si="3"/>
        <v>轩辕总，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6" s="56" t="str">
        <f t="shared" si="4"/>
        <v>F:\工作\3浪潮云服务\市场部\本次发送\工作表合并\北京区.xlsx</v>
      </c>
      <c r="F6" s="70" t="s">
        <v>368</v>
      </c>
      <c r="G6" s="30"/>
      <c r="H6" s="61">
        <f t="shared" si="6"/>
        <v>1</v>
      </c>
      <c r="I6" s="61" t="s">
        <v>367</v>
      </c>
      <c r="J6" s="36"/>
      <c r="N6" s="46" t="s">
        <v>71</v>
      </c>
      <c r="O6" s="1" t="s">
        <v>12</v>
      </c>
      <c r="P6" s="1">
        <v>18610772799</v>
      </c>
      <c r="Q6" s="23" t="s">
        <v>13</v>
      </c>
      <c r="R6" s="21"/>
      <c r="S6" s="53" t="s">
        <v>138</v>
      </c>
      <c r="T6" s="37" t="s">
        <v>151</v>
      </c>
      <c r="U6" s="50" t="s">
        <v>289</v>
      </c>
      <c r="V6" s="19" t="s">
        <v>143</v>
      </c>
      <c r="W6" s="19">
        <v>18610161077</v>
      </c>
      <c r="X6" s="23" t="s">
        <v>167</v>
      </c>
      <c r="Y6" s="19"/>
      <c r="Z6" s="68" t="s">
        <v>449</v>
      </c>
      <c r="AA6" s="37" t="s">
        <v>450</v>
      </c>
      <c r="AB6" s="19" t="s">
        <v>66</v>
      </c>
      <c r="AC6" s="19">
        <v>15699733336</v>
      </c>
      <c r="AD6" s="23" t="s">
        <v>516</v>
      </c>
      <c r="AE6" s="19"/>
      <c r="AF6" s="37"/>
      <c r="AG6" s="23" t="s">
        <v>183</v>
      </c>
      <c r="AH6" s="23" t="str">
        <f t="shared" si="5"/>
        <v>;liu_lin@inspur.com;</v>
      </c>
      <c r="AI6" s="35" t="s">
        <v>183</v>
      </c>
      <c r="AJ6" s="35" t="s">
        <v>183</v>
      </c>
      <c r="AK6" s="54" t="s">
        <v>138</v>
      </c>
      <c r="AL6" s="37"/>
      <c r="AM6" s="23"/>
      <c r="AN6" s="19"/>
      <c r="AO6" s="20"/>
      <c r="AP6" s="37"/>
      <c r="AQ6" s="19"/>
      <c r="AR6" s="19"/>
      <c r="AS6" s="19"/>
    </row>
    <row r="7" spans="1:45" ht="16.5" customHeight="1" x14ac:dyDescent="0.35">
      <c r="A7" s="18" t="str">
        <f t="shared" si="0"/>
        <v>dengpf@inspur.com</v>
      </c>
      <c r="B7" s="18" t="str">
        <f t="shared" si="1"/>
        <v>wangrsh@inspur.com;;pengmin@inspur.com;caomi@inspur.com;dumenglan@inspur.com;kangzp@inspur.com;tangjing@inspur.com;shenfh@inspur.com</v>
      </c>
      <c r="C7" s="19" t="str">
        <f t="shared" si="2"/>
        <v>云服务集团5月业务数据</v>
      </c>
      <c r="D7" s="20" t="str">
        <f t="shared" si="3"/>
        <v>邓总，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7" s="56" t="str">
        <f t="shared" si="4"/>
        <v>F:\工作\3浪潮云服务\市场部\本次发送\工作表合并\四川区.xlsx</v>
      </c>
      <c r="F7" s="1" t="s">
        <v>369</v>
      </c>
      <c r="G7" s="30"/>
      <c r="H7" s="61">
        <f t="shared" si="6"/>
        <v>1</v>
      </c>
      <c r="I7" s="61" t="s">
        <v>368</v>
      </c>
      <c r="J7" s="36"/>
      <c r="N7" s="47" t="s">
        <v>81</v>
      </c>
      <c r="O7" s="1" t="s">
        <v>48</v>
      </c>
      <c r="P7" s="1">
        <v>18605319139</v>
      </c>
      <c r="Q7" s="23" t="s">
        <v>49</v>
      </c>
      <c r="R7" s="21"/>
      <c r="S7" s="53" t="s">
        <v>137</v>
      </c>
      <c r="T7" s="37" t="s">
        <v>396</v>
      </c>
      <c r="U7" s="50" t="s">
        <v>399</v>
      </c>
      <c r="V7" s="19" t="s">
        <v>398</v>
      </c>
      <c r="W7" s="19">
        <v>18980746446</v>
      </c>
      <c r="X7" s="23" t="s">
        <v>397</v>
      </c>
      <c r="Y7" s="19"/>
      <c r="Z7" s="68" t="s">
        <v>451</v>
      </c>
      <c r="AA7" s="37" t="s">
        <v>452</v>
      </c>
      <c r="AB7" s="19" t="s">
        <v>80</v>
      </c>
      <c r="AC7" s="19">
        <v>18782947519</v>
      </c>
      <c r="AD7" s="23" t="s">
        <v>177</v>
      </c>
      <c r="AE7" s="19"/>
      <c r="AF7" s="37" t="s">
        <v>517</v>
      </c>
      <c r="AG7" s="23" t="s">
        <v>400</v>
      </c>
      <c r="AH7" s="23" t="str">
        <f t="shared" si="5"/>
        <v>;pengmin@inspur.com;caomi@inspur.com;dumenglan@inspur.com</v>
      </c>
      <c r="AI7" s="35" t="s">
        <v>183</v>
      </c>
      <c r="AJ7" s="35" t="s">
        <v>183</v>
      </c>
      <c r="AK7" s="54" t="s">
        <v>137</v>
      </c>
      <c r="AL7" s="37"/>
      <c r="AM7" s="23"/>
      <c r="AN7" s="19"/>
      <c r="AO7" s="20"/>
      <c r="AP7" s="37"/>
      <c r="AQ7" s="19"/>
      <c r="AR7" s="19"/>
      <c r="AS7" s="19"/>
    </row>
    <row r="8" spans="1:45" ht="16.5" customHeight="1" x14ac:dyDescent="0.35">
      <c r="A8" s="18" t="str">
        <f t="shared" si="0"/>
        <v>weichy@inspur.com</v>
      </c>
      <c r="B8" s="18" t="str">
        <f t="shared" si="1"/>
        <v>zhangyongli@inspur.com;;suyj@inspur.com;;kangzp@inspur.com;tangjing@inspur.com;shenfh@inspur.com</v>
      </c>
      <c r="C8" s="19" t="str">
        <f t="shared" si="2"/>
        <v>云服务集团5月业务数据</v>
      </c>
      <c r="D8" s="20" t="str">
        <f t="shared" si="3"/>
        <v>魏总，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8" s="56" t="str">
        <f t="shared" si="4"/>
        <v>F:\工作\3浪潮云服务\市场部\本次发送\工作表合并\河南区.xlsx</v>
      </c>
      <c r="F8" s="70" t="s">
        <v>370</v>
      </c>
      <c r="G8" s="30"/>
      <c r="H8" s="61">
        <f t="shared" si="6"/>
        <v>1</v>
      </c>
      <c r="I8" s="61" t="s">
        <v>369</v>
      </c>
      <c r="J8" s="36"/>
      <c r="N8" s="46" t="s">
        <v>72</v>
      </c>
      <c r="O8" s="1" t="s">
        <v>58</v>
      </c>
      <c r="P8" s="1">
        <v>18866808217</v>
      </c>
      <c r="Q8" s="23" t="s">
        <v>59</v>
      </c>
      <c r="R8" s="21"/>
      <c r="S8" s="53" t="s">
        <v>453</v>
      </c>
      <c r="T8" s="37" t="s">
        <v>152</v>
      </c>
      <c r="U8" s="50" t="s">
        <v>277</v>
      </c>
      <c r="V8" s="19"/>
      <c r="W8" s="19">
        <v>13605319537</v>
      </c>
      <c r="X8" s="23" t="s">
        <v>168</v>
      </c>
      <c r="Y8" s="19"/>
      <c r="Z8" s="68" t="s">
        <v>453</v>
      </c>
      <c r="AA8" s="37" t="s">
        <v>454</v>
      </c>
      <c r="AB8" s="19" t="s">
        <v>73</v>
      </c>
      <c r="AC8" s="19">
        <v>13343823810</v>
      </c>
      <c r="AD8" s="23" t="s">
        <v>178</v>
      </c>
      <c r="AE8" s="19"/>
      <c r="AF8" s="37"/>
      <c r="AG8" s="23" t="s">
        <v>183</v>
      </c>
      <c r="AH8" s="23" t="str">
        <f t="shared" si="5"/>
        <v>;suyj@inspur.com;</v>
      </c>
      <c r="AI8" s="35" t="s">
        <v>183</v>
      </c>
      <c r="AJ8" s="35" t="s">
        <v>183</v>
      </c>
      <c r="AK8" s="54" t="s">
        <v>136</v>
      </c>
      <c r="AL8" s="37"/>
      <c r="AM8" s="23"/>
      <c r="AN8" s="19"/>
      <c r="AO8" s="20"/>
      <c r="AP8" s="37"/>
      <c r="AQ8" s="19"/>
      <c r="AR8" s="19"/>
      <c r="AS8" s="19"/>
    </row>
    <row r="9" spans="1:45" ht="16.5" customHeight="1" x14ac:dyDescent="0.35">
      <c r="A9" s="18" t="str">
        <f t="shared" si="0"/>
        <v>yangyang1@inspur.com</v>
      </c>
      <c r="B9" s="18" t="str">
        <f t="shared" si="1"/>
        <v>chenglm@inspur.com;;hongyuan@inspur.com;;kangzp@inspur.com;tangjing@inspur.com;shenfh@inspur.com</v>
      </c>
      <c r="C9" s="19" t="str">
        <f t="shared" si="2"/>
        <v>云服务集团5月业务数据</v>
      </c>
      <c r="D9" s="20" t="str">
        <f t="shared" si="3"/>
        <v>杨总，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9" s="56" t="str">
        <f t="shared" si="4"/>
        <v>F:\工作\3浪潮云服务\市场部\本次发送\工作表合并\安徽区.xlsx</v>
      </c>
      <c r="F9" s="70" t="s">
        <v>371</v>
      </c>
      <c r="G9" s="30"/>
      <c r="H9" s="61">
        <f t="shared" si="6"/>
        <v>1</v>
      </c>
      <c r="I9" s="61" t="s">
        <v>370</v>
      </c>
      <c r="J9" s="36"/>
      <c r="N9" s="46" t="s">
        <v>75</v>
      </c>
      <c r="O9" s="1" t="s">
        <v>10</v>
      </c>
      <c r="P9" s="1">
        <v>13349090001</v>
      </c>
      <c r="Q9" s="23" t="s">
        <v>11</v>
      </c>
      <c r="R9" s="21"/>
      <c r="S9" s="53" t="s">
        <v>455</v>
      </c>
      <c r="T9" s="37" t="s">
        <v>423</v>
      </c>
      <c r="U9" s="50" t="s">
        <v>424</v>
      </c>
      <c r="V9" s="19"/>
      <c r="W9" s="19">
        <v>18956068989</v>
      </c>
      <c r="X9" s="23" t="s">
        <v>425</v>
      </c>
      <c r="Y9" s="19"/>
      <c r="Z9" s="68" t="s">
        <v>456</v>
      </c>
      <c r="AA9" s="37" t="s">
        <v>457</v>
      </c>
      <c r="AB9" s="19" t="s">
        <v>66</v>
      </c>
      <c r="AC9" s="19">
        <v>15656054271</v>
      </c>
      <c r="AD9" s="23" t="s">
        <v>76</v>
      </c>
      <c r="AE9" s="19"/>
      <c r="AF9" s="37"/>
      <c r="AG9" s="23" t="s">
        <v>183</v>
      </c>
      <c r="AH9" s="23" t="str">
        <f t="shared" si="5"/>
        <v>;hongyuan@inspur.com;</v>
      </c>
      <c r="AI9" s="35" t="s">
        <v>183</v>
      </c>
      <c r="AJ9" s="35" t="s">
        <v>183</v>
      </c>
      <c r="AK9" s="54" t="s">
        <v>135</v>
      </c>
      <c r="AL9" s="37"/>
      <c r="AM9" s="23"/>
      <c r="AN9" s="19"/>
      <c r="AO9" s="20"/>
      <c r="AP9" s="37"/>
      <c r="AQ9" s="19"/>
      <c r="AR9" s="19"/>
      <c r="AS9" s="19"/>
    </row>
    <row r="10" spans="1:45" ht="16.5" customHeight="1" x14ac:dyDescent="0.35">
      <c r="A10" s="18" t="str">
        <f t="shared" si="0"/>
        <v>tuhua@inspur.com</v>
      </c>
      <c r="B10" s="18" t="str">
        <f t="shared" si="1"/>
        <v>hujun@inspur.com;;liuff@inspur.com;liaoc@inspur.com;kangzp@inspur.com;tangjing@inspur.com;shenfh@inspur.com</v>
      </c>
      <c r="C10" s="19" t="str">
        <f t="shared" si="2"/>
        <v>云服务集团5月业务数据</v>
      </c>
      <c r="D10" s="20" t="str">
        <f t="shared" si="3"/>
        <v>涂总，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10" s="56" t="str">
        <f t="shared" si="4"/>
        <v>F:\工作\3浪潮云服务\市场部\本次发送\工作表合并\湖北区.xlsx</v>
      </c>
      <c r="F10" s="70" t="s">
        <v>372</v>
      </c>
      <c r="G10" s="30"/>
      <c r="H10" s="61">
        <f t="shared" si="6"/>
        <v>1</v>
      </c>
      <c r="I10" s="61" t="s">
        <v>371</v>
      </c>
      <c r="J10" s="36"/>
      <c r="N10" s="46" t="s">
        <v>74</v>
      </c>
      <c r="O10" s="1" t="s">
        <v>26</v>
      </c>
      <c r="P10" s="1">
        <v>13387554488</v>
      </c>
      <c r="Q10" s="23" t="s">
        <v>27</v>
      </c>
      <c r="R10" s="21"/>
      <c r="S10" s="53" t="s">
        <v>134</v>
      </c>
      <c r="T10" s="37" t="s">
        <v>153</v>
      </c>
      <c r="U10" s="50" t="s">
        <v>278</v>
      </c>
      <c r="V10" s="19"/>
      <c r="W10" s="19">
        <v>18627079899</v>
      </c>
      <c r="X10" s="23" t="s">
        <v>306</v>
      </c>
      <c r="Y10" s="19"/>
      <c r="Z10" s="68" t="s">
        <v>458</v>
      </c>
      <c r="AA10" s="37" t="s">
        <v>459</v>
      </c>
      <c r="AB10" s="19" t="s">
        <v>73</v>
      </c>
      <c r="AC10" s="19">
        <v>18607145067</v>
      </c>
      <c r="AD10" s="23" t="s">
        <v>179</v>
      </c>
      <c r="AE10" s="19"/>
      <c r="AF10" s="37" t="s">
        <v>518</v>
      </c>
      <c r="AG10" s="23" t="s">
        <v>219</v>
      </c>
      <c r="AH10" s="23" t="str">
        <f t="shared" si="5"/>
        <v>;liuff@inspur.com;liaoc@inspur.com</v>
      </c>
      <c r="AI10" s="35" t="s">
        <v>183</v>
      </c>
      <c r="AJ10" s="35" t="s">
        <v>183</v>
      </c>
      <c r="AK10" s="54" t="s">
        <v>134</v>
      </c>
      <c r="AL10" s="37"/>
      <c r="AM10" s="23"/>
      <c r="AN10" s="19"/>
      <c r="AO10" s="20"/>
      <c r="AP10" s="37"/>
      <c r="AQ10" s="19"/>
      <c r="AR10" s="19"/>
      <c r="AS10" s="19"/>
    </row>
    <row r="11" spans="1:45" ht="16.5" customHeight="1" x14ac:dyDescent="0.35">
      <c r="A11" s="18" t="str">
        <f t="shared" si="0"/>
        <v>yanglei-sh@inspur.com</v>
      </c>
      <c r="B11" s="18" t="str">
        <f t="shared" si="1"/>
        <v>guoqiang@inspur.com;;zhangyingchao@inspur.com;;kangzp@inspur.com;tangjing@inspur.com;shenfh@inspur.com</v>
      </c>
      <c r="C11" s="19" t="str">
        <f t="shared" si="2"/>
        <v>云服务集团5月业务数据</v>
      </c>
      <c r="D11" s="20" t="str">
        <f t="shared" si="3"/>
        <v>杨总，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11" s="56" t="str">
        <f t="shared" si="4"/>
        <v>F:\工作\3浪潮云服务\市场部\本次发送\工作表合并\上海区.xlsx</v>
      </c>
      <c r="F11" s="70" t="s">
        <v>373</v>
      </c>
      <c r="G11" s="30"/>
      <c r="H11" s="61">
        <f t="shared" si="6"/>
        <v>1</v>
      </c>
      <c r="I11" s="61" t="s">
        <v>372</v>
      </c>
      <c r="J11" s="36"/>
      <c r="N11" s="46" t="s">
        <v>87</v>
      </c>
      <c r="O11" s="1" t="s">
        <v>569</v>
      </c>
      <c r="P11" s="1">
        <v>18621661980</v>
      </c>
      <c r="Q11" s="4" t="s">
        <v>568</v>
      </c>
      <c r="R11" s="21"/>
      <c r="S11" s="53" t="s">
        <v>460</v>
      </c>
      <c r="T11" s="37" t="s">
        <v>405</v>
      </c>
      <c r="U11" s="50" t="s">
        <v>406</v>
      </c>
      <c r="V11" s="19"/>
      <c r="W11" s="19">
        <v>13801950374</v>
      </c>
      <c r="X11" s="23" t="s">
        <v>404</v>
      </c>
      <c r="Y11" s="19"/>
      <c r="Z11" s="68" t="s">
        <v>460</v>
      </c>
      <c r="AA11" s="37" t="s">
        <v>461</v>
      </c>
      <c r="AB11" s="19" t="s">
        <v>66</v>
      </c>
      <c r="AC11" s="19">
        <v>13120582588</v>
      </c>
      <c r="AD11" s="23" t="s">
        <v>88</v>
      </c>
      <c r="AE11" s="19"/>
      <c r="AF11" s="37"/>
      <c r="AG11" s="23" t="s">
        <v>183</v>
      </c>
      <c r="AH11" s="23" t="str">
        <f t="shared" si="5"/>
        <v>;zhangyingchao@inspur.com;</v>
      </c>
      <c r="AI11" s="35" t="s">
        <v>183</v>
      </c>
      <c r="AJ11" s="35" t="s">
        <v>183</v>
      </c>
      <c r="AK11" s="54" t="s">
        <v>133</v>
      </c>
      <c r="AL11" s="37"/>
      <c r="AM11" s="23"/>
      <c r="AN11" s="19"/>
      <c r="AO11" s="20"/>
      <c r="AP11" s="37"/>
      <c r="AQ11" s="19"/>
      <c r="AR11" s="19"/>
      <c r="AS11" s="19"/>
    </row>
    <row r="12" spans="1:45" ht="16.5" customHeight="1" x14ac:dyDescent="0.35">
      <c r="A12" s="18" t="str">
        <f t="shared" si="0"/>
        <v>suiky@inspur.com</v>
      </c>
      <c r="B12" s="18" t="str">
        <f t="shared" si="1"/>
        <v>jilei@inspur.com;;guohui@inspur.com;wangmx@inspur.com;kangzp@inspur.com;tangjing@inspur.com;shenfh@inspur.com</v>
      </c>
      <c r="C12" s="19" t="str">
        <f t="shared" si="2"/>
        <v>云服务集团5月业务数据</v>
      </c>
      <c r="D12" s="20" t="str">
        <f t="shared" si="3"/>
        <v>隋总，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12" s="56" t="str">
        <f t="shared" si="4"/>
        <v>F:\工作\3浪潮云服务\市场部\本次发送\工作表合并\山西区.xlsx</v>
      </c>
      <c r="F12" s="70" t="s">
        <v>374</v>
      </c>
      <c r="G12" s="30"/>
      <c r="H12" s="61">
        <f t="shared" si="6"/>
        <v>1</v>
      </c>
      <c r="I12" s="61" t="s">
        <v>373</v>
      </c>
      <c r="J12" s="36"/>
      <c r="N12" s="46" t="s">
        <v>79</v>
      </c>
      <c r="O12" s="1" t="s">
        <v>42</v>
      </c>
      <c r="P12" s="1">
        <v>13853199927</v>
      </c>
      <c r="Q12" s="23" t="s">
        <v>43</v>
      </c>
      <c r="R12" s="21"/>
      <c r="S12" s="53" t="s">
        <v>132</v>
      </c>
      <c r="T12" s="37" t="s">
        <v>144</v>
      </c>
      <c r="U12" s="50" t="s">
        <v>279</v>
      </c>
      <c r="V12" s="19" t="s">
        <v>165</v>
      </c>
      <c r="W12" s="19">
        <v>18660177898</v>
      </c>
      <c r="X12" s="23" t="s">
        <v>145</v>
      </c>
      <c r="Y12" s="19"/>
      <c r="Z12" s="68" t="s">
        <v>462</v>
      </c>
      <c r="AA12" s="37" t="s">
        <v>463</v>
      </c>
      <c r="AB12" s="19" t="s">
        <v>80</v>
      </c>
      <c r="AC12" s="19">
        <v>13403450091</v>
      </c>
      <c r="AD12" s="23" t="s">
        <v>180</v>
      </c>
      <c r="AE12" s="19"/>
      <c r="AF12" s="37" t="s">
        <v>519</v>
      </c>
      <c r="AG12" s="23" t="s">
        <v>220</v>
      </c>
      <c r="AH12" s="23" t="str">
        <f t="shared" si="5"/>
        <v>;guohui@inspur.com;wangmx@inspur.com</v>
      </c>
      <c r="AI12" s="35" t="s">
        <v>183</v>
      </c>
      <c r="AJ12" s="35" t="s">
        <v>183</v>
      </c>
      <c r="AK12" s="54" t="s">
        <v>132</v>
      </c>
      <c r="AL12" s="37"/>
      <c r="AM12" s="23"/>
      <c r="AN12" s="19"/>
      <c r="AO12" s="20"/>
      <c r="AP12" s="37"/>
      <c r="AQ12" s="19"/>
      <c r="AR12" s="19"/>
      <c r="AS12" s="19"/>
    </row>
    <row r="13" spans="1:45" ht="16.5" customHeight="1" x14ac:dyDescent="0.35">
      <c r="A13" s="18" t="str">
        <f t="shared" si="0"/>
        <v>liuxinhb@inspur.com</v>
      </c>
      <c r="B13" s="18" t="str">
        <f t="shared" si="1"/>
        <v>lihengwei@inspur.com;ma-chao@inspur.com;YANG_LI@INSPUR.COM;;kangzp@inspur.com;tangjing@inspur.com;shenfh@inspur.com</v>
      </c>
      <c r="C13" s="19" t="str">
        <f t="shared" si="2"/>
        <v>云服务集团5月业务数据</v>
      </c>
      <c r="D13" s="20" t="str">
        <f t="shared" si="3"/>
        <v>刘总，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13" s="56" t="str">
        <f t="shared" si="4"/>
        <v>F:\工作\3浪潮云服务\市场部\本次发送\工作表合并\河北区.xlsx</v>
      </c>
      <c r="F13" s="70" t="s">
        <v>375</v>
      </c>
      <c r="G13" s="30"/>
      <c r="H13" s="61">
        <f t="shared" si="6"/>
        <v>1</v>
      </c>
      <c r="I13" s="61" t="s">
        <v>374</v>
      </c>
      <c r="J13" s="36"/>
      <c r="N13" s="46" t="s">
        <v>83</v>
      </c>
      <c r="O13" s="1" t="s">
        <v>22</v>
      </c>
      <c r="P13" s="1">
        <v>18905311600</v>
      </c>
      <c r="Q13" s="23" t="s">
        <v>23</v>
      </c>
      <c r="R13" s="21"/>
      <c r="S13" s="53" t="s">
        <v>131</v>
      </c>
      <c r="T13" s="37" t="s">
        <v>324</v>
      </c>
      <c r="U13" s="50" t="s">
        <v>320</v>
      </c>
      <c r="V13" s="19" t="s">
        <v>345</v>
      </c>
      <c r="W13" s="19">
        <v>15081813555</v>
      </c>
      <c r="X13" s="23" t="s">
        <v>323</v>
      </c>
      <c r="Y13" s="19" t="s">
        <v>256</v>
      </c>
      <c r="Z13" s="68" t="s">
        <v>464</v>
      </c>
      <c r="AA13" s="37" t="s">
        <v>465</v>
      </c>
      <c r="AB13" s="19" t="s">
        <v>66</v>
      </c>
      <c r="AC13" s="19">
        <v>13931890995</v>
      </c>
      <c r="AD13" s="23" t="s">
        <v>181</v>
      </c>
      <c r="AE13" s="19"/>
      <c r="AF13" s="37"/>
      <c r="AG13" s="23" t="s">
        <v>183</v>
      </c>
      <c r="AH13" s="23" t="str">
        <f t="shared" si="5"/>
        <v>ma-chao@inspur.com;YANG_LI@INSPUR.COM;</v>
      </c>
      <c r="AI13" s="35" t="s">
        <v>183</v>
      </c>
      <c r="AJ13" s="35" t="s">
        <v>183</v>
      </c>
      <c r="AK13" s="54" t="s">
        <v>131</v>
      </c>
      <c r="AL13" s="37" t="s">
        <v>321</v>
      </c>
      <c r="AM13" s="23" t="s">
        <v>169</v>
      </c>
      <c r="AN13" s="19" t="s">
        <v>322</v>
      </c>
      <c r="AO13" s="20">
        <v>15165106999</v>
      </c>
      <c r="AP13" s="37"/>
      <c r="AQ13" s="19"/>
      <c r="AR13" s="19"/>
      <c r="AS13" s="19"/>
    </row>
    <row r="14" spans="1:45" ht="16.5" customHeight="1" x14ac:dyDescent="0.35">
      <c r="A14" s="18" t="str">
        <f t="shared" si="0"/>
        <v>maoxy@inspur.com</v>
      </c>
      <c r="B14" s="18" t="str">
        <f t="shared" si="1"/>
        <v>caojiangyang@inspur.com;;guojiao@inspur.com;;kangzp@inspur.com;tangjing@inspur.com;shenfh@inspur.com</v>
      </c>
      <c r="C14" s="19" t="str">
        <f t="shared" si="2"/>
        <v>云服务集团5月业务数据</v>
      </c>
      <c r="D14" s="20" t="str">
        <f t="shared" si="3"/>
        <v>毛总，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14" s="56" t="str">
        <f t="shared" si="4"/>
        <v>F:\工作\3浪潮云服务\市场部\本次发送\工作表合并\陕西区.xlsx</v>
      </c>
      <c r="F14" s="70" t="s">
        <v>376</v>
      </c>
      <c r="G14" s="30"/>
      <c r="H14" s="61">
        <f t="shared" si="6"/>
        <v>1</v>
      </c>
      <c r="I14" s="61" t="s">
        <v>375</v>
      </c>
      <c r="J14" s="36"/>
      <c r="N14" s="46" t="s">
        <v>85</v>
      </c>
      <c r="O14" s="1" t="s">
        <v>44</v>
      </c>
      <c r="P14" s="1">
        <v>18601239369</v>
      </c>
      <c r="Q14" s="23" t="s">
        <v>45</v>
      </c>
      <c r="R14" s="21"/>
      <c r="S14" s="53" t="s">
        <v>466</v>
      </c>
      <c r="T14" s="37" t="s">
        <v>146</v>
      </c>
      <c r="U14" s="50" t="s">
        <v>280</v>
      </c>
      <c r="V14" s="19" t="s">
        <v>143</v>
      </c>
      <c r="W14" s="19">
        <v>18629028288</v>
      </c>
      <c r="X14" s="23" t="s">
        <v>170</v>
      </c>
      <c r="Y14" s="19"/>
      <c r="Z14" s="68" t="s">
        <v>466</v>
      </c>
      <c r="AA14" s="37" t="s">
        <v>467</v>
      </c>
      <c r="AB14" s="19" t="s">
        <v>66</v>
      </c>
      <c r="AC14" s="19">
        <v>13709128742</v>
      </c>
      <c r="AD14" s="23" t="s">
        <v>86</v>
      </c>
      <c r="AE14" s="19"/>
      <c r="AF14" s="37"/>
      <c r="AG14" s="23" t="s">
        <v>183</v>
      </c>
      <c r="AH14" s="23" t="str">
        <f t="shared" si="5"/>
        <v>;guojiao@inspur.com;</v>
      </c>
      <c r="AI14" s="35" t="s">
        <v>183</v>
      </c>
      <c r="AJ14" s="35" t="s">
        <v>183</v>
      </c>
      <c r="AK14" s="54" t="s">
        <v>130</v>
      </c>
      <c r="AL14" s="37"/>
      <c r="AM14" s="23"/>
      <c r="AN14" s="19"/>
      <c r="AO14" s="20"/>
      <c r="AP14" s="37"/>
      <c r="AQ14" s="19"/>
      <c r="AR14" s="19"/>
      <c r="AS14" s="19"/>
    </row>
    <row r="15" spans="1:45" ht="16.5" customHeight="1" x14ac:dyDescent="0.35">
      <c r="A15" s="18" t="str">
        <f t="shared" si="0"/>
        <v>liyu@inspur.com</v>
      </c>
      <c r="B15" s="18" t="str">
        <f t="shared" si="1"/>
        <v>zhangdch@inspur.com;baoqh@inspur.com;gaozhenqi@inspur.com;;kangzp@inspur.com;tangjing@inspur.com;shenfh@inspur.com</v>
      </c>
      <c r="C15" s="19" t="str">
        <f t="shared" si="2"/>
        <v>云服务集团5月业务数据</v>
      </c>
      <c r="D15" s="20" t="str">
        <f t="shared" si="3"/>
        <v>李总，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15" s="56" t="str">
        <f t="shared" si="4"/>
        <v>F:\工作\3浪潮云服务\市场部\本次发送\工作表合并\黑龙江区.xlsx</v>
      </c>
      <c r="F15" s="70" t="s">
        <v>377</v>
      </c>
      <c r="G15" s="30"/>
      <c r="H15" s="61">
        <f t="shared" si="6"/>
        <v>1</v>
      </c>
      <c r="I15" s="61" t="s">
        <v>376</v>
      </c>
      <c r="J15" s="36"/>
      <c r="N15" s="46" t="s">
        <v>84</v>
      </c>
      <c r="O15" s="1" t="s">
        <v>24</v>
      </c>
      <c r="P15" s="1">
        <v>13384517868</v>
      </c>
      <c r="Q15" s="23" t="s">
        <v>25</v>
      </c>
      <c r="R15" s="21"/>
      <c r="S15" s="53" t="s">
        <v>129</v>
      </c>
      <c r="T15" s="37" t="s">
        <v>346</v>
      </c>
      <c r="U15" s="50" t="s">
        <v>303</v>
      </c>
      <c r="V15" s="19" t="s">
        <v>302</v>
      </c>
      <c r="W15" s="19">
        <v>13940374567</v>
      </c>
      <c r="X15" s="23" t="s">
        <v>307</v>
      </c>
      <c r="Y15" s="19"/>
      <c r="Z15" s="68" t="s">
        <v>468</v>
      </c>
      <c r="AA15" s="37" t="s">
        <v>469</v>
      </c>
      <c r="AB15" s="19" t="s">
        <v>66</v>
      </c>
      <c r="AC15" s="19"/>
      <c r="AD15" s="23" t="s">
        <v>342</v>
      </c>
      <c r="AE15" s="19"/>
      <c r="AF15" s="37"/>
      <c r="AG15" s="23" t="s">
        <v>183</v>
      </c>
      <c r="AH15" s="23" t="str">
        <f t="shared" si="5"/>
        <v>baoqh@inspur.com;gaozhenqi@inspur.com;</v>
      </c>
      <c r="AI15" s="35" t="s">
        <v>183</v>
      </c>
      <c r="AJ15" s="35" t="s">
        <v>183</v>
      </c>
      <c r="AK15" s="54" t="s">
        <v>129</v>
      </c>
      <c r="AL15" s="37" t="s">
        <v>349</v>
      </c>
      <c r="AM15" s="23" t="s">
        <v>348</v>
      </c>
      <c r="AN15" s="19" t="s">
        <v>350</v>
      </c>
      <c r="AO15" s="20"/>
      <c r="AP15" s="37"/>
      <c r="AQ15" s="19"/>
      <c r="AR15" s="19"/>
      <c r="AS15" s="19"/>
    </row>
    <row r="16" spans="1:45" ht="16.5" customHeight="1" x14ac:dyDescent="0.35">
      <c r="A16" s="18" t="str">
        <f t="shared" si="0"/>
        <v>longqi@inspur.com</v>
      </c>
      <c r="B16" s="18" t="str">
        <f t="shared" si="1"/>
        <v>hanchx@inspur.com;;huyj@inspur.com;;kangzp@inspur.com;tangjing@inspur.com;shenfh@inspur.com</v>
      </c>
      <c r="C16" s="19" t="str">
        <f t="shared" si="2"/>
        <v>云服务集团5月业务数据</v>
      </c>
      <c r="D16" s="20" t="str">
        <f t="shared" si="3"/>
        <v>龙总，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16" s="56" t="str">
        <f t="shared" si="4"/>
        <v>F:\工作\3浪潮云服务\市场部\本次发送\工作表合并\湖南区.xlsx</v>
      </c>
      <c r="F16" s="70" t="s">
        <v>378</v>
      </c>
      <c r="G16" s="30"/>
      <c r="H16" s="61">
        <f t="shared" si="6"/>
        <v>1</v>
      </c>
      <c r="I16" s="61" t="s">
        <v>377</v>
      </c>
      <c r="J16" s="36"/>
      <c r="N16" s="46" t="s">
        <v>96</v>
      </c>
      <c r="O16" s="1" t="s">
        <v>28</v>
      </c>
      <c r="P16" s="1">
        <v>13974880009</v>
      </c>
      <c r="Q16" s="23" t="s">
        <v>29</v>
      </c>
      <c r="R16" s="21"/>
      <c r="S16" s="53" t="s">
        <v>128</v>
      </c>
      <c r="T16" s="37" t="s">
        <v>347</v>
      </c>
      <c r="U16" s="50" t="s">
        <v>343</v>
      </c>
      <c r="V16" s="19" t="s">
        <v>345</v>
      </c>
      <c r="W16" s="19">
        <v>13574889880</v>
      </c>
      <c r="X16" s="23" t="s">
        <v>344</v>
      </c>
      <c r="Y16" s="19"/>
      <c r="Z16" s="68" t="s">
        <v>470</v>
      </c>
      <c r="AA16" s="37" t="s">
        <v>471</v>
      </c>
      <c r="AB16" s="19" t="s">
        <v>68</v>
      </c>
      <c r="AC16" s="19">
        <v>13319531009</v>
      </c>
      <c r="AD16" s="23" t="s">
        <v>97</v>
      </c>
      <c r="AE16" s="19"/>
      <c r="AF16" s="37"/>
      <c r="AG16" s="23" t="s">
        <v>183</v>
      </c>
      <c r="AH16" s="23" t="str">
        <f t="shared" si="5"/>
        <v>;huyj@inspur.com;</v>
      </c>
      <c r="AI16" s="35" t="s">
        <v>183</v>
      </c>
      <c r="AJ16" s="35" t="s">
        <v>183</v>
      </c>
      <c r="AK16" s="54" t="s">
        <v>128</v>
      </c>
      <c r="AL16" s="37"/>
      <c r="AM16" s="23"/>
      <c r="AN16" s="19"/>
      <c r="AO16" s="20"/>
      <c r="AP16" s="37"/>
      <c r="AQ16" s="19"/>
      <c r="AR16" s="19"/>
      <c r="AS16" s="19"/>
    </row>
    <row r="17" spans="1:45" ht="16.5" customHeight="1" x14ac:dyDescent="0.35">
      <c r="A17" s="18" t="str">
        <f t="shared" si="0"/>
        <v>chengt@inspur.com</v>
      </c>
      <c r="B17" s="18" t="str">
        <f t="shared" si="1"/>
        <v>xuguobin@inspur.com;;zhuyl@inspur.com;wangyanling@inspur.com;kangzp@inspur.com;tangjing@inspur.com;shenfh@inspur.com</v>
      </c>
      <c r="C17" s="19" t="str">
        <f t="shared" si="2"/>
        <v>云服务集团5月业务数据</v>
      </c>
      <c r="D17" s="20" t="str">
        <f t="shared" si="3"/>
        <v>陈总，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17" s="56" t="str">
        <f t="shared" si="4"/>
        <v>F:\工作\3浪潮云服务\市场部\本次发送\工作表合并\甘肃区.xlsx</v>
      </c>
      <c r="F17" s="70" t="s">
        <v>379</v>
      </c>
      <c r="G17" s="30"/>
      <c r="H17" s="61">
        <f t="shared" si="6"/>
        <v>1</v>
      </c>
      <c r="I17" s="61" t="s">
        <v>378</v>
      </c>
      <c r="J17" s="36"/>
      <c r="N17" s="46" t="s">
        <v>77</v>
      </c>
      <c r="O17" s="1" t="s">
        <v>351</v>
      </c>
      <c r="P17" s="1"/>
      <c r="Q17" s="23" t="s">
        <v>352</v>
      </c>
      <c r="R17" s="21"/>
      <c r="S17" s="53" t="s">
        <v>127</v>
      </c>
      <c r="T17" s="37" t="s">
        <v>297</v>
      </c>
      <c r="U17" s="50" t="s">
        <v>298</v>
      </c>
      <c r="V17" s="19"/>
      <c r="W17" s="19">
        <v>13893365226</v>
      </c>
      <c r="X17" s="23" t="s">
        <v>296</v>
      </c>
      <c r="Y17" s="19"/>
      <c r="Z17" s="68" t="s">
        <v>472</v>
      </c>
      <c r="AA17" s="37" t="s">
        <v>473</v>
      </c>
      <c r="AB17" s="19" t="s">
        <v>73</v>
      </c>
      <c r="AC17" s="19">
        <v>13893678177</v>
      </c>
      <c r="AD17" s="23" t="s">
        <v>78</v>
      </c>
      <c r="AE17" s="19"/>
      <c r="AF17" s="37" t="s">
        <v>520</v>
      </c>
      <c r="AG17" s="23" t="s">
        <v>221</v>
      </c>
      <c r="AH17" s="23" t="str">
        <f t="shared" si="5"/>
        <v>;zhuyl@inspur.com;wangyanling@inspur.com</v>
      </c>
      <c r="AI17" s="35" t="s">
        <v>183</v>
      </c>
      <c r="AJ17" s="35" t="s">
        <v>183</v>
      </c>
      <c r="AK17" s="54" t="s">
        <v>127</v>
      </c>
      <c r="AL17" s="37"/>
      <c r="AM17" s="23"/>
      <c r="AN17" s="19"/>
      <c r="AO17" s="20"/>
      <c r="AP17" s="37"/>
      <c r="AQ17" s="19"/>
      <c r="AR17" s="19"/>
      <c r="AS17" s="19"/>
    </row>
    <row r="18" spans="1:45" ht="16.5" customHeight="1" x14ac:dyDescent="0.35">
      <c r="A18" s="18" t="str">
        <f t="shared" si="0"/>
        <v>raosm@inspur.com</v>
      </c>
      <c r="B18" s="18" t="str">
        <f t="shared" si="1"/>
        <v>xujd@inspur.com;;suting@inspur.com;;kangzp@inspur.com;tangjing@inspur.com;shenfh@inspur.com</v>
      </c>
      <c r="C18" s="19" t="str">
        <f t="shared" si="2"/>
        <v>云服务集团5月业务数据</v>
      </c>
      <c r="D18" s="20" t="str">
        <f t="shared" si="3"/>
        <v>饶总，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18" s="56" t="str">
        <f t="shared" si="4"/>
        <v>F:\工作\3浪潮云服务\市场部\本次发送\工作表合并\江西区.xlsx</v>
      </c>
      <c r="F18" s="70" t="s">
        <v>380</v>
      </c>
      <c r="G18" s="30"/>
      <c r="H18" s="61">
        <f t="shared" si="6"/>
        <v>1</v>
      </c>
      <c r="I18" s="61" t="s">
        <v>379</v>
      </c>
      <c r="J18" s="36"/>
      <c r="N18" s="46" t="s">
        <v>82</v>
      </c>
      <c r="O18" s="1" t="s">
        <v>60</v>
      </c>
      <c r="P18" s="1">
        <v>13911059500</v>
      </c>
      <c r="Q18" s="23" t="s">
        <v>61</v>
      </c>
      <c r="R18" s="21"/>
      <c r="S18" s="53" t="s">
        <v>474</v>
      </c>
      <c r="T18" s="37" t="s">
        <v>358</v>
      </c>
      <c r="U18" s="50" t="s">
        <v>359</v>
      </c>
      <c r="V18" s="19"/>
      <c r="W18" s="19">
        <v>13307913066</v>
      </c>
      <c r="X18" s="23" t="s">
        <v>360</v>
      </c>
      <c r="Y18" s="19"/>
      <c r="Z18" s="68" t="s">
        <v>474</v>
      </c>
      <c r="AA18" s="37" t="s">
        <v>475</v>
      </c>
      <c r="AB18" s="19" t="s">
        <v>66</v>
      </c>
      <c r="AC18" s="19">
        <v>18679171137</v>
      </c>
      <c r="AD18" s="23" t="s">
        <v>182</v>
      </c>
      <c r="AE18" s="19"/>
      <c r="AF18" s="37"/>
      <c r="AG18" s="23" t="s">
        <v>183</v>
      </c>
      <c r="AH18" s="23" t="str">
        <f t="shared" si="5"/>
        <v>;suting@inspur.com;</v>
      </c>
      <c r="AI18" s="35" t="s">
        <v>183</v>
      </c>
      <c r="AJ18" s="35" t="s">
        <v>183</v>
      </c>
      <c r="AK18" s="54" t="s">
        <v>126</v>
      </c>
      <c r="AL18" s="37"/>
      <c r="AM18" s="23"/>
      <c r="AN18" s="19"/>
      <c r="AO18" s="20"/>
      <c r="AP18" s="37"/>
      <c r="AQ18" s="19"/>
      <c r="AR18" s="19"/>
      <c r="AS18" s="19"/>
    </row>
    <row r="19" spans="1:45" ht="16.5" customHeight="1" x14ac:dyDescent="0.35">
      <c r="A19" s="18" t="str">
        <f t="shared" si="0"/>
        <v>zhigh@inspur.com</v>
      </c>
      <c r="B19" s="18" t="str">
        <f t="shared" si="1"/>
        <v>sunqch@inspur.com;;panjie@inspur.com;wangmiaom@inspur.com;wangmiaom@inspur.com;kangzp@inspur.com;tangjing@inspur.com;shenfh@inspur.com</v>
      </c>
      <c r="C19" s="19" t="str">
        <f t="shared" si="2"/>
        <v>云服务集团5月业务数据</v>
      </c>
      <c r="D19" s="20" t="str">
        <f t="shared" si="3"/>
        <v>智总，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19" s="56" t="str">
        <f t="shared" si="4"/>
        <v>F:\工作\3浪潮云服务\市场部\本次发送\工作表合并\天津区.xlsx</v>
      </c>
      <c r="F19" s="70" t="s">
        <v>381</v>
      </c>
      <c r="G19" s="30"/>
      <c r="H19" s="61">
        <f t="shared" si="6"/>
        <v>1</v>
      </c>
      <c r="I19" s="61" t="s">
        <v>380</v>
      </c>
      <c r="J19" s="36"/>
      <c r="N19" s="48" t="s">
        <v>115</v>
      </c>
      <c r="O19" s="1" t="s">
        <v>417</v>
      </c>
      <c r="P19" s="1"/>
      <c r="Q19" s="23" t="s">
        <v>418</v>
      </c>
      <c r="R19" s="21"/>
      <c r="S19" s="53" t="s">
        <v>476</v>
      </c>
      <c r="T19" s="37" t="s">
        <v>330</v>
      </c>
      <c r="U19" s="50" t="s">
        <v>332</v>
      </c>
      <c r="V19" s="19" t="s">
        <v>331</v>
      </c>
      <c r="W19" s="19">
        <v>18502281735</v>
      </c>
      <c r="X19" s="23" t="s">
        <v>361</v>
      </c>
      <c r="Y19" s="19"/>
      <c r="Z19" s="68" t="s">
        <v>476</v>
      </c>
      <c r="AA19" s="37" t="s">
        <v>477</v>
      </c>
      <c r="AB19" s="19" t="s">
        <v>160</v>
      </c>
      <c r="AC19" s="19" t="s">
        <v>161</v>
      </c>
      <c r="AD19" s="23" t="s">
        <v>162</v>
      </c>
      <c r="AE19" s="19"/>
      <c r="AF19" s="37" t="s">
        <v>521</v>
      </c>
      <c r="AG19" s="23" t="s">
        <v>222</v>
      </c>
      <c r="AH19" s="23" t="str">
        <f t="shared" si="5"/>
        <v>;panjie@inspur.com;wangmiaom@inspur.com;wangmiaom@inspur.com</v>
      </c>
      <c r="AI19" s="35" t="s">
        <v>183</v>
      </c>
      <c r="AJ19" s="35" t="s">
        <v>183</v>
      </c>
      <c r="AK19" s="54" t="s">
        <v>116</v>
      </c>
      <c r="AL19" s="37"/>
      <c r="AM19" s="23"/>
      <c r="AN19" s="19"/>
      <c r="AO19" s="20"/>
      <c r="AP19" s="37"/>
      <c r="AQ19" s="19"/>
      <c r="AR19" s="19"/>
      <c r="AS19" s="19"/>
    </row>
    <row r="20" spans="1:45" ht="16.5" customHeight="1" x14ac:dyDescent="0.35">
      <c r="A20" s="18" t="str">
        <f t="shared" si="0"/>
        <v>yourui@inspur.com</v>
      </c>
      <c r="B20" s="18" t="str">
        <f t="shared" si="1"/>
        <v>gongmx@inspur.com;chenweinm@inspur.com;dingjiao@inspur.com;;kangzp@inspur.com;tangjing@inspur.com;shenfh@inspur.com</v>
      </c>
      <c r="C20" s="19" t="str">
        <f t="shared" si="2"/>
        <v>云服务集团5月业务数据</v>
      </c>
      <c r="D20" s="20" t="str">
        <f t="shared" si="3"/>
        <v>尤总，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20" s="56" t="str">
        <f t="shared" si="4"/>
        <v>F:\工作\3浪潮云服务\市场部\本次发送\工作表合并\内蒙古区.xlsx</v>
      </c>
      <c r="F20" s="70" t="s">
        <v>382</v>
      </c>
      <c r="G20" s="30"/>
      <c r="H20" s="61">
        <f t="shared" si="6"/>
        <v>1</v>
      </c>
      <c r="I20" s="61" t="s">
        <v>381</v>
      </c>
      <c r="J20" s="36"/>
      <c r="N20" s="46" t="s">
        <v>205</v>
      </c>
      <c r="O20" s="1" t="s">
        <v>36</v>
      </c>
      <c r="P20" s="1">
        <v>18600280588</v>
      </c>
      <c r="Q20" s="23" t="s">
        <v>37</v>
      </c>
      <c r="R20" s="21"/>
      <c r="S20" s="53" t="s">
        <v>478</v>
      </c>
      <c r="T20" s="37" t="s">
        <v>429</v>
      </c>
      <c r="U20" s="50" t="s">
        <v>430</v>
      </c>
      <c r="V20" s="19"/>
      <c r="W20" s="19">
        <v>18654528866</v>
      </c>
      <c r="X20" s="23" t="s">
        <v>431</v>
      </c>
      <c r="Y20" s="19"/>
      <c r="Z20" s="68" t="s">
        <v>478</v>
      </c>
      <c r="AA20" s="37" t="s">
        <v>479</v>
      </c>
      <c r="AB20" s="19" t="s">
        <v>66</v>
      </c>
      <c r="AC20" s="19">
        <v>15849339290</v>
      </c>
      <c r="AD20" s="23" t="s">
        <v>91</v>
      </c>
      <c r="AE20" s="19"/>
      <c r="AF20" s="37"/>
      <c r="AG20" s="23" t="s">
        <v>183</v>
      </c>
      <c r="AH20" s="23" t="str">
        <f t="shared" si="5"/>
        <v>chenweinm@inspur.com;dingjiao@inspur.com;</v>
      </c>
      <c r="AI20" s="35" t="s">
        <v>183</v>
      </c>
      <c r="AJ20" s="35" t="s">
        <v>183</v>
      </c>
      <c r="AK20" s="54" t="s">
        <v>117</v>
      </c>
      <c r="AL20" s="37" t="s">
        <v>333</v>
      </c>
      <c r="AM20" s="23" t="s">
        <v>187</v>
      </c>
      <c r="AN20" s="19"/>
      <c r="AO20" s="20">
        <v>13015020567</v>
      </c>
      <c r="AP20" s="37"/>
      <c r="AQ20" s="19"/>
      <c r="AR20" s="19"/>
      <c r="AS20" s="19"/>
    </row>
    <row r="21" spans="1:45" ht="16.5" customHeight="1" x14ac:dyDescent="0.35">
      <c r="A21" s="18" t="str">
        <f t="shared" si="0"/>
        <v>guohong@inspur.com</v>
      </c>
      <c r="B21" s="18" t="str">
        <f t="shared" si="1"/>
        <v>songrx@inspur.com;;dongjh@inspur.com;;kangzp@inspur.com;tangjing@inspur.com;shenfh@inspur.com</v>
      </c>
      <c r="C21" s="19" t="str">
        <f t="shared" si="2"/>
        <v>云服务集团5月业务数据</v>
      </c>
      <c r="D21" s="20" t="str">
        <f t="shared" si="3"/>
        <v>郭总，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21" s="56" t="str">
        <f t="shared" si="4"/>
        <v>F:\工作\3浪潮云服务\市场部\本次发送\工作表合并\辽宁区.xlsx</v>
      </c>
      <c r="F21" s="70" t="s">
        <v>383</v>
      </c>
      <c r="G21" s="30"/>
      <c r="H21" s="61">
        <f t="shared" si="6"/>
        <v>1</v>
      </c>
      <c r="I21" s="61" t="s">
        <v>382</v>
      </c>
      <c r="J21" s="36"/>
      <c r="N21" s="48" t="s">
        <v>94</v>
      </c>
      <c r="O21" s="1" t="s">
        <v>34</v>
      </c>
      <c r="P21" s="1">
        <v>13335153718</v>
      </c>
      <c r="Q21" s="23" t="s">
        <v>35</v>
      </c>
      <c r="R21" s="21"/>
      <c r="S21" s="53" t="s">
        <v>125</v>
      </c>
      <c r="T21" s="37" t="s">
        <v>154</v>
      </c>
      <c r="U21" s="50" t="s">
        <v>282</v>
      </c>
      <c r="V21" s="19" t="s">
        <v>165</v>
      </c>
      <c r="W21" s="19">
        <v>13940536289</v>
      </c>
      <c r="X21" s="23" t="s">
        <v>334</v>
      </c>
      <c r="Y21" s="19"/>
      <c r="Z21" s="68" t="s">
        <v>480</v>
      </c>
      <c r="AA21" s="37" t="s">
        <v>481</v>
      </c>
      <c r="AB21" s="19" t="s">
        <v>66</v>
      </c>
      <c r="AC21" s="19">
        <v>18640244788</v>
      </c>
      <c r="AD21" s="23" t="s">
        <v>95</v>
      </c>
      <c r="AE21" s="19"/>
      <c r="AF21" s="37"/>
      <c r="AG21" s="23" t="s">
        <v>183</v>
      </c>
      <c r="AH21" s="23" t="str">
        <f t="shared" si="5"/>
        <v>;dongjh@inspur.com;</v>
      </c>
      <c r="AI21" s="35" t="s">
        <v>183</v>
      </c>
      <c r="AJ21" s="35" t="s">
        <v>183</v>
      </c>
      <c r="AK21" s="54" t="s">
        <v>125</v>
      </c>
      <c r="AL21" s="37"/>
      <c r="AM21" s="23"/>
      <c r="AN21" s="19"/>
      <c r="AO21" s="20"/>
      <c r="AP21" s="37"/>
      <c r="AQ21" s="19"/>
      <c r="AR21" s="19"/>
      <c r="AS21" s="19"/>
    </row>
    <row r="22" spans="1:45" ht="16.5" customHeight="1" x14ac:dyDescent="0.35">
      <c r="A22" s="18" t="str">
        <f t="shared" si="0"/>
        <v>tanhb@inspur.com</v>
      </c>
      <c r="B22" s="18" t="str">
        <f t="shared" si="1"/>
        <v>sunqd@inspur.com;tanhb@inspur.com;wengxl@inspur.com;zhanglinfj@inspur.com;kangzp@inspur.com;tangjing@inspur.com;shenfh@inspur.com</v>
      </c>
      <c r="C22" s="19" t="str">
        <f t="shared" si="2"/>
        <v>云服务集团5月业务数据</v>
      </c>
      <c r="D22" s="20" t="str">
        <f t="shared" si="3"/>
        <v>谈总，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22" s="56" t="str">
        <f t="shared" si="4"/>
        <v>F:\工作\3浪潮云服务\市场部\本次发送\工作表合并\福建区.xlsx</v>
      </c>
      <c r="F22" s="70" t="s">
        <v>384</v>
      </c>
      <c r="G22" s="30"/>
      <c r="H22" s="61">
        <f t="shared" si="6"/>
        <v>1</v>
      </c>
      <c r="I22" s="61" t="s">
        <v>383</v>
      </c>
      <c r="J22" s="36"/>
      <c r="N22" s="48" t="s">
        <v>100</v>
      </c>
      <c r="O22" s="1" t="s">
        <v>56</v>
      </c>
      <c r="P22" s="1">
        <v>15806679158</v>
      </c>
      <c r="Q22" s="23" t="s">
        <v>57</v>
      </c>
      <c r="R22" s="21"/>
      <c r="S22" s="53" t="s">
        <v>482</v>
      </c>
      <c r="T22" s="37" t="s">
        <v>362</v>
      </c>
      <c r="U22" s="50" t="s">
        <v>363</v>
      </c>
      <c r="V22" s="19" t="s">
        <v>165</v>
      </c>
      <c r="W22" s="19">
        <v>13850101878</v>
      </c>
      <c r="X22" s="23" t="s">
        <v>364</v>
      </c>
      <c r="Y22" s="19"/>
      <c r="Z22" s="68" t="s">
        <v>482</v>
      </c>
      <c r="AA22" s="37" t="s">
        <v>483</v>
      </c>
      <c r="AB22" s="65" t="s">
        <v>183</v>
      </c>
      <c r="AC22" s="19"/>
      <c r="AD22" s="23" t="s">
        <v>329</v>
      </c>
      <c r="AE22" s="19"/>
      <c r="AF22" s="37" t="s">
        <v>522</v>
      </c>
      <c r="AG22" s="23" t="s">
        <v>223</v>
      </c>
      <c r="AH22" s="23" t="str">
        <f>AM22&amp;";"&amp;AD22&amp;";"&amp;AG22</f>
        <v>tanhb@inspur.com;wengxl@inspur.com;zhanglinfj@inspur.com</v>
      </c>
      <c r="AI22" s="35" t="s">
        <v>183</v>
      </c>
      <c r="AJ22" s="35" t="s">
        <v>183</v>
      </c>
      <c r="AK22" s="54" t="s">
        <v>124</v>
      </c>
      <c r="AL22" s="37" t="s">
        <v>261</v>
      </c>
      <c r="AM22" s="23" t="s">
        <v>266</v>
      </c>
      <c r="AN22" s="19" t="s">
        <v>263</v>
      </c>
      <c r="AO22" s="20"/>
      <c r="AP22" s="37" t="s">
        <v>328</v>
      </c>
      <c r="AQ22" s="19" t="s">
        <v>66</v>
      </c>
      <c r="AR22" s="19">
        <v>15059157761</v>
      </c>
      <c r="AS22" s="19" t="s">
        <v>101</v>
      </c>
    </row>
    <row r="23" spans="1:45" ht="16.5" customHeight="1" x14ac:dyDescent="0.35">
      <c r="A23" s="18" t="str">
        <f t="shared" si="0"/>
        <v>loupeng@inspur.com</v>
      </c>
      <c r="B23" s="18" t="str">
        <f t="shared" si="1"/>
        <v>cuijm@inspur.com;;chengss@inspur.com;;kangzp@inspur.com;tangjing@inspur.com;shenfh@inspur.com</v>
      </c>
      <c r="C23" s="19" t="str">
        <f t="shared" si="2"/>
        <v>云服务集团5月业务数据</v>
      </c>
      <c r="D23" s="20" t="str">
        <f t="shared" si="3"/>
        <v>娄总，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23" s="56" t="str">
        <f t="shared" si="4"/>
        <v>F:\工作\3浪潮云服务\市场部\本次发送\工作表合并\新疆区.xlsx</v>
      </c>
      <c r="F23" s="70" t="s">
        <v>385</v>
      </c>
      <c r="G23" s="30"/>
      <c r="H23" s="61">
        <f t="shared" si="6"/>
        <v>1</v>
      </c>
      <c r="I23" s="61" t="s">
        <v>384</v>
      </c>
      <c r="J23" s="36"/>
      <c r="N23" s="46" t="s">
        <v>89</v>
      </c>
      <c r="O23" s="1" t="s">
        <v>50</v>
      </c>
      <c r="P23" s="1">
        <v>13999985001</v>
      </c>
      <c r="Q23" s="23" t="s">
        <v>51</v>
      </c>
      <c r="R23" s="21"/>
      <c r="S23" s="53" t="s">
        <v>484</v>
      </c>
      <c r="T23" s="37" t="s">
        <v>407</v>
      </c>
      <c r="U23" s="50" t="s">
        <v>408</v>
      </c>
      <c r="V23" s="19"/>
      <c r="W23" s="19">
        <v>18699020035</v>
      </c>
      <c r="X23" s="23" t="s">
        <v>409</v>
      </c>
      <c r="Y23" s="19"/>
      <c r="Z23" s="68" t="s">
        <v>484</v>
      </c>
      <c r="AA23" s="37" t="s">
        <v>485</v>
      </c>
      <c r="AB23" s="19" t="s">
        <v>66</v>
      </c>
      <c r="AC23" s="19">
        <v>13659956575</v>
      </c>
      <c r="AD23" s="23" t="s">
        <v>90</v>
      </c>
      <c r="AE23" s="19"/>
      <c r="AF23" s="37"/>
      <c r="AG23" s="23" t="s">
        <v>183</v>
      </c>
      <c r="AH23" s="23" t="str">
        <f t="shared" si="5"/>
        <v>;chengss@inspur.com;</v>
      </c>
      <c r="AI23" s="35" t="s">
        <v>183</v>
      </c>
      <c r="AJ23" s="35" t="s">
        <v>183</v>
      </c>
      <c r="AK23" s="54" t="s">
        <v>123</v>
      </c>
      <c r="AL23" s="37"/>
      <c r="AM23" s="23"/>
      <c r="AN23" s="19"/>
      <c r="AO23" s="20"/>
      <c r="AP23" s="37"/>
      <c r="AQ23" s="19"/>
      <c r="AR23" s="19"/>
      <c r="AS23" s="19"/>
    </row>
    <row r="24" spans="1:45" ht="16.5" customHeight="1" x14ac:dyDescent="0.35">
      <c r="A24" s="18" t="str">
        <f t="shared" si="0"/>
        <v>lianglin@inspur.com</v>
      </c>
      <c r="B24" s="18" t="str">
        <f t="shared" si="1"/>
        <v>liu.yong@inspur.com;;chenshl@inspur.com;;kangzp@inspur.com;tangjing@inspur.com;shenfh@inspur.com</v>
      </c>
      <c r="C24" s="19" t="str">
        <f t="shared" si="2"/>
        <v>云服务集团5月业务数据</v>
      </c>
      <c r="D24" s="20" t="str">
        <f t="shared" si="3"/>
        <v>梁总，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24" s="56" t="str">
        <f t="shared" si="4"/>
        <v>F:\工作\3浪潮云服务\市场部\本次发送\工作表合并\广西区.xlsx</v>
      </c>
      <c r="F24" s="70" t="s">
        <v>386</v>
      </c>
      <c r="G24" s="30"/>
      <c r="H24" s="61">
        <f t="shared" si="6"/>
        <v>1</v>
      </c>
      <c r="I24" s="61" t="s">
        <v>385</v>
      </c>
      <c r="J24" s="36"/>
      <c r="N24" s="46" t="s">
        <v>105</v>
      </c>
      <c r="O24" s="1" t="s">
        <v>16</v>
      </c>
      <c r="P24" s="1">
        <v>13759533658</v>
      </c>
      <c r="Q24" s="23" t="s">
        <v>17</v>
      </c>
      <c r="R24" s="21"/>
      <c r="S24" s="53" t="s">
        <v>122</v>
      </c>
      <c r="T24" s="37" t="s">
        <v>147</v>
      </c>
      <c r="U24" s="50" t="s">
        <v>283</v>
      </c>
      <c r="V24" s="19" t="s">
        <v>143</v>
      </c>
      <c r="W24" s="19">
        <v>13607710531</v>
      </c>
      <c r="X24" s="23" t="s">
        <v>171</v>
      </c>
      <c r="Y24" s="19"/>
      <c r="Z24" s="68" t="s">
        <v>486</v>
      </c>
      <c r="AA24" s="37" t="s">
        <v>487</v>
      </c>
      <c r="AB24" s="19" t="s">
        <v>73</v>
      </c>
      <c r="AC24" s="19">
        <v>15977759932</v>
      </c>
      <c r="AD24" s="23" t="s">
        <v>106</v>
      </c>
      <c r="AE24" s="19"/>
      <c r="AF24" s="37"/>
      <c r="AG24" s="23" t="s">
        <v>183</v>
      </c>
      <c r="AH24" s="23" t="str">
        <f t="shared" si="5"/>
        <v>;chenshl@inspur.com;</v>
      </c>
      <c r="AI24" s="35" t="s">
        <v>183</v>
      </c>
      <c r="AJ24" s="35" t="s">
        <v>183</v>
      </c>
      <c r="AK24" s="54" t="s">
        <v>122</v>
      </c>
      <c r="AL24" s="37"/>
      <c r="AM24" s="23"/>
      <c r="AN24" s="19"/>
      <c r="AO24" s="20"/>
      <c r="AP24" s="37"/>
      <c r="AQ24" s="19"/>
      <c r="AR24" s="19"/>
      <c r="AS24" s="19"/>
    </row>
    <row r="25" spans="1:45" ht="16.5" customHeight="1" x14ac:dyDescent="0.35">
      <c r="A25" s="18" t="str">
        <f t="shared" si="0"/>
        <v>kangll@inspur.com</v>
      </c>
      <c r="B25" s="18" t="str">
        <f t="shared" si="1"/>
        <v>kangkai@inspur.com;liumengfang@inspur.com;haoling@inspur.com;yumh@inspur.com;kangzp@inspur.com;tangjing@inspur.com;shenfh@inspur.com</v>
      </c>
      <c r="C25" s="19" t="str">
        <f t="shared" si="2"/>
        <v>云服务集团5月业务数据</v>
      </c>
      <c r="D25" s="20" t="str">
        <f t="shared" si="3"/>
        <v>康总，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25" s="56" t="str">
        <f t="shared" si="4"/>
        <v>F:\工作\3浪潮云服务\市场部\本次发送\工作表合并\重庆区.xlsx</v>
      </c>
      <c r="F25" s="70" t="s">
        <v>387</v>
      </c>
      <c r="G25" s="30"/>
      <c r="H25" s="61">
        <f t="shared" si="6"/>
        <v>1</v>
      </c>
      <c r="I25" s="61" t="s">
        <v>386</v>
      </c>
      <c r="J25" s="36"/>
      <c r="N25" s="46" t="s">
        <v>92</v>
      </c>
      <c r="O25" s="1" t="s">
        <v>415</v>
      </c>
      <c r="P25" s="1"/>
      <c r="Q25" s="23" t="s">
        <v>416</v>
      </c>
      <c r="R25" s="21"/>
      <c r="S25" s="53" t="s">
        <v>488</v>
      </c>
      <c r="T25" s="73" t="s">
        <v>528</v>
      </c>
      <c r="U25" s="50" t="s">
        <v>527</v>
      </c>
      <c r="V25" s="19" t="s">
        <v>165</v>
      </c>
      <c r="W25" s="19">
        <v>13389603995</v>
      </c>
      <c r="X25" s="23" t="s">
        <v>526</v>
      </c>
      <c r="Y25" s="19"/>
      <c r="Z25" s="68" t="s">
        <v>488</v>
      </c>
      <c r="AA25" s="37" t="s">
        <v>489</v>
      </c>
      <c r="AB25" s="19" t="s">
        <v>68</v>
      </c>
      <c r="AC25" s="19">
        <v>15923343988</v>
      </c>
      <c r="AD25" s="23" t="s">
        <v>93</v>
      </c>
      <c r="AE25" s="19"/>
      <c r="AF25" s="37" t="s">
        <v>523</v>
      </c>
      <c r="AG25" s="23" t="s">
        <v>313</v>
      </c>
      <c r="AH25" s="23" t="str">
        <f t="shared" si="5"/>
        <v>liumengfang@inspur.com;haoling@inspur.com;yumh@inspur.com</v>
      </c>
      <c r="AI25" s="35" t="s">
        <v>183</v>
      </c>
      <c r="AJ25" s="35" t="s">
        <v>183</v>
      </c>
      <c r="AK25" s="54" t="s">
        <v>121</v>
      </c>
      <c r="AL25" s="37" t="s">
        <v>356</v>
      </c>
      <c r="AM25" s="23" t="s">
        <v>355</v>
      </c>
      <c r="AN25" s="19" t="s">
        <v>357</v>
      </c>
      <c r="AO25" s="20"/>
      <c r="AP25" s="37"/>
      <c r="AQ25" s="19"/>
      <c r="AR25" s="19"/>
      <c r="AS25" s="19"/>
    </row>
    <row r="26" spans="1:45" ht="16.5" customHeight="1" x14ac:dyDescent="0.35">
      <c r="A26" s="18" t="str">
        <f t="shared" si="0"/>
        <v>houdj@inspur.com</v>
      </c>
      <c r="B26" s="18" t="str">
        <f t="shared" si="1"/>
        <v>xinjl@inspur.com;;benhy@insur.com;lixialc@inspur.com;kangzp@inspur.com;tangjing@inspur.com;shenfh@inspur.com</v>
      </c>
      <c r="C26" s="19" t="str">
        <f t="shared" si="2"/>
        <v>云服务集团5月业务数据</v>
      </c>
      <c r="D26" s="20" t="str">
        <f t="shared" si="3"/>
        <v>侯总，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26" s="56" t="str">
        <f t="shared" si="4"/>
        <v>F:\工作\3浪潮云服务\市场部\本次发送\工作表合并\浙江区.xlsx</v>
      </c>
      <c r="F26" s="70" t="s">
        <v>388</v>
      </c>
      <c r="G26" s="30"/>
      <c r="H26" s="61">
        <f t="shared" si="6"/>
        <v>1</v>
      </c>
      <c r="I26" s="61" t="s">
        <v>387</v>
      </c>
      <c r="J26" s="36"/>
      <c r="N26" s="46" t="s">
        <v>103</v>
      </c>
      <c r="O26" s="1" t="s">
        <v>54</v>
      </c>
      <c r="P26" s="1">
        <v>15658879929</v>
      </c>
      <c r="Q26" s="23" t="s">
        <v>55</v>
      </c>
      <c r="R26" s="21"/>
      <c r="S26" s="53" t="s">
        <v>490</v>
      </c>
      <c r="T26" s="37" t="s">
        <v>419</v>
      </c>
      <c r="U26" s="50" t="s">
        <v>420</v>
      </c>
      <c r="V26" s="19" t="s">
        <v>421</v>
      </c>
      <c r="W26" s="19">
        <v>18953119966</v>
      </c>
      <c r="X26" s="23" t="s">
        <v>422</v>
      </c>
      <c r="Y26" s="19"/>
      <c r="Z26" s="68" t="s">
        <v>490</v>
      </c>
      <c r="AA26" s="37" t="s">
        <v>491</v>
      </c>
      <c r="AB26" s="19" t="s">
        <v>66</v>
      </c>
      <c r="AC26" s="19">
        <v>18668060228</v>
      </c>
      <c r="AD26" s="23" t="s">
        <v>104</v>
      </c>
      <c r="AE26" s="19"/>
      <c r="AF26" s="37" t="s">
        <v>524</v>
      </c>
      <c r="AG26" s="23" t="s">
        <v>272</v>
      </c>
      <c r="AH26" s="23" t="str">
        <f t="shared" si="5"/>
        <v>;benhy@insur.com;lixialc@inspur.com</v>
      </c>
      <c r="AI26" s="35" t="s">
        <v>183</v>
      </c>
      <c r="AJ26" s="35" t="s">
        <v>183</v>
      </c>
      <c r="AK26" s="54" t="s">
        <v>103</v>
      </c>
      <c r="AL26" s="37"/>
      <c r="AM26" s="23"/>
      <c r="AN26" s="19"/>
      <c r="AO26" s="20"/>
      <c r="AP26" s="37"/>
      <c r="AQ26" s="19"/>
      <c r="AR26" s="19"/>
      <c r="AS26" s="19"/>
    </row>
    <row r="27" spans="1:45" ht="16.5" customHeight="1" x14ac:dyDescent="0.35">
      <c r="A27" s="18" t="str">
        <f t="shared" si="0"/>
        <v>jiangy@inspur.com</v>
      </c>
      <c r="B27" s="18" t="str">
        <f t="shared" si="1"/>
        <v>lixin@inspur.com;;fuyx@inspur.com;;kangzp@inspur.com;tangjing@inspur.com;shenfh@inspur.com</v>
      </c>
      <c r="C27" s="19" t="str">
        <f t="shared" si="2"/>
        <v>云服务集团5月业务数据</v>
      </c>
      <c r="D27" s="20" t="str">
        <f t="shared" si="3"/>
        <v>江总，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27" s="56" t="str">
        <f t="shared" si="4"/>
        <v>F:\工作\3浪潮云服务\市场部\本次发送\工作表合并\贵州区.xlsx</v>
      </c>
      <c r="F27" s="71" t="s">
        <v>389</v>
      </c>
      <c r="G27" s="30"/>
      <c r="H27" s="61">
        <f t="shared" si="6"/>
        <v>1</v>
      </c>
      <c r="I27" s="61" t="s">
        <v>388</v>
      </c>
      <c r="J27" s="36"/>
      <c r="N27" s="46" t="s">
        <v>107</v>
      </c>
      <c r="O27" s="2" t="s">
        <v>18</v>
      </c>
      <c r="P27" s="2">
        <v>13385115600</v>
      </c>
      <c r="Q27" s="23" t="s">
        <v>19</v>
      </c>
      <c r="R27" s="21"/>
      <c r="S27" s="53" t="s">
        <v>492</v>
      </c>
      <c r="T27" s="37" t="s">
        <v>148</v>
      </c>
      <c r="U27" s="50" t="s">
        <v>284</v>
      </c>
      <c r="V27" s="19" t="s">
        <v>143</v>
      </c>
      <c r="W27" s="19">
        <v>18985187797</v>
      </c>
      <c r="X27" s="23" t="s">
        <v>308</v>
      </c>
      <c r="Y27" s="19"/>
      <c r="Z27" s="68" t="s">
        <v>492</v>
      </c>
      <c r="AA27" s="37" t="s">
        <v>493</v>
      </c>
      <c r="AB27" s="19" t="s">
        <v>73</v>
      </c>
      <c r="AC27" s="19">
        <v>13312213132</v>
      </c>
      <c r="AD27" s="23" t="s">
        <v>108</v>
      </c>
      <c r="AE27" s="19"/>
      <c r="AF27" s="37"/>
      <c r="AG27" s="23" t="s">
        <v>183</v>
      </c>
      <c r="AH27" s="23" t="str">
        <f t="shared" si="5"/>
        <v>;fuyx@inspur.com;</v>
      </c>
      <c r="AI27" s="35" t="s">
        <v>183</v>
      </c>
      <c r="AJ27" s="35" t="s">
        <v>183</v>
      </c>
      <c r="AK27" s="54" t="s">
        <v>120</v>
      </c>
      <c r="AL27" s="37"/>
      <c r="AM27" s="23"/>
      <c r="AN27" s="19"/>
      <c r="AO27" s="20"/>
      <c r="AP27" s="37"/>
      <c r="AQ27" s="19"/>
      <c r="AR27" s="19"/>
      <c r="AS27" s="19"/>
    </row>
    <row r="28" spans="1:45" ht="16.5" customHeight="1" x14ac:dyDescent="0.35">
      <c r="A28" s="18" t="str">
        <f t="shared" si="0"/>
        <v>liangwg@inspur.com</v>
      </c>
      <c r="B28" s="18" t="str">
        <f t="shared" si="1"/>
        <v>tianysh@inspur.com;;liupf@inspur.com;;kangzp@inspur.com;tangjing@inspur.com;shenfh@inspur.com</v>
      </c>
      <c r="C28" s="19" t="str">
        <f t="shared" si="2"/>
        <v>云服务集团5月业务数据</v>
      </c>
      <c r="D28" s="20" t="str">
        <f t="shared" si="3"/>
        <v>梁总，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28" s="56" t="str">
        <f t="shared" si="4"/>
        <v>F:\工作\3浪潮云服务\市场部\本次发送\工作表合并\吉林区.xlsx</v>
      </c>
      <c r="F28" s="71" t="s">
        <v>390</v>
      </c>
      <c r="G28" s="30"/>
      <c r="H28" s="61">
        <f t="shared" si="6"/>
        <v>1</v>
      </c>
      <c r="I28" s="61" t="s">
        <v>389</v>
      </c>
      <c r="J28" s="36"/>
      <c r="N28" s="46" t="s">
        <v>102</v>
      </c>
      <c r="O28" s="2" t="s">
        <v>30</v>
      </c>
      <c r="P28" s="2">
        <v>13904310166</v>
      </c>
      <c r="Q28" s="23" t="s">
        <v>31</v>
      </c>
      <c r="R28" s="21"/>
      <c r="S28" s="53" t="s">
        <v>494</v>
      </c>
      <c r="T28" s="37" t="s">
        <v>293</v>
      </c>
      <c r="U28" s="50" t="s">
        <v>294</v>
      </c>
      <c r="V28" s="19" t="s">
        <v>143</v>
      </c>
      <c r="W28" s="19">
        <v>13904310878</v>
      </c>
      <c r="X28" s="23" t="s">
        <v>309</v>
      </c>
      <c r="Y28" s="19"/>
      <c r="Z28" s="68" t="s">
        <v>494</v>
      </c>
      <c r="AA28" s="37" t="s">
        <v>495</v>
      </c>
      <c r="AB28" s="19" t="s">
        <v>66</v>
      </c>
      <c r="AC28" s="19">
        <v>15104310492</v>
      </c>
      <c r="AD28" s="23" t="s">
        <v>295</v>
      </c>
      <c r="AE28" s="19"/>
      <c r="AF28" s="37"/>
      <c r="AG28" s="23" t="s">
        <v>183</v>
      </c>
      <c r="AH28" s="23" t="str">
        <f t="shared" si="5"/>
        <v>;liupf@inspur.com;</v>
      </c>
      <c r="AI28" s="35" t="s">
        <v>183</v>
      </c>
      <c r="AJ28" s="35" t="s">
        <v>183</v>
      </c>
      <c r="AK28" s="54" t="s">
        <v>119</v>
      </c>
      <c r="AL28" s="37"/>
      <c r="AM28" s="23"/>
      <c r="AN28" s="19"/>
      <c r="AO28" s="20"/>
      <c r="AP28" s="37"/>
      <c r="AQ28" s="19"/>
      <c r="AR28" s="19"/>
      <c r="AS28" s="19"/>
    </row>
    <row r="29" spans="1:45" ht="16.5" customHeight="1" x14ac:dyDescent="0.35">
      <c r="A29" s="18" t="str">
        <f t="shared" si="0"/>
        <v>jinlei@inspur.com</v>
      </c>
      <c r="B29" s="18" t="str">
        <f t="shared" si="1"/>
        <v>zhengxin@inspur.com;;guowj@inspur.com;zhangxiaohong@inspur.com;kangzp@inspur.com;tangjing@inspur.com;shenfh@inspur.com</v>
      </c>
      <c r="C29" s="19" t="str">
        <f t="shared" si="2"/>
        <v>云服务集团5月业务数据</v>
      </c>
      <c r="D29" s="20" t="str">
        <f t="shared" si="3"/>
        <v>靳总，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29" s="56" t="str">
        <f t="shared" si="4"/>
        <v>F:\工作\3浪潮云服务\市场部\本次发送\工作表合并\云南区.xlsx</v>
      </c>
      <c r="F29" s="70" t="s">
        <v>391</v>
      </c>
      <c r="G29" s="30"/>
      <c r="H29" s="61">
        <f t="shared" si="6"/>
        <v>1</v>
      </c>
      <c r="I29" s="61" t="s">
        <v>390</v>
      </c>
      <c r="J29" s="36"/>
      <c r="N29" s="46" t="s">
        <v>98</v>
      </c>
      <c r="O29" s="1" t="s">
        <v>52</v>
      </c>
      <c r="P29" s="1">
        <v>13911166859</v>
      </c>
      <c r="Q29" s="23" t="s">
        <v>53</v>
      </c>
      <c r="R29" s="21"/>
      <c r="S29" s="53" t="s">
        <v>496</v>
      </c>
      <c r="T29" s="37" t="s">
        <v>166</v>
      </c>
      <c r="U29" s="50" t="s">
        <v>285</v>
      </c>
      <c r="V29" s="19" t="s">
        <v>143</v>
      </c>
      <c r="W29" s="19">
        <v>13769110025</v>
      </c>
      <c r="X29" s="23" t="s">
        <v>172</v>
      </c>
      <c r="Y29" s="19"/>
      <c r="Z29" s="68" t="s">
        <v>496</v>
      </c>
      <c r="AA29" s="37" t="s">
        <v>497</v>
      </c>
      <c r="AB29" s="19" t="s">
        <v>80</v>
      </c>
      <c r="AC29" s="19">
        <v>18653172188</v>
      </c>
      <c r="AD29" s="23" t="s">
        <v>99</v>
      </c>
      <c r="AE29" s="19"/>
      <c r="AF29" s="37" t="s">
        <v>525</v>
      </c>
      <c r="AG29" s="23" t="s">
        <v>224</v>
      </c>
      <c r="AH29" s="23" t="str">
        <f t="shared" si="5"/>
        <v>;guowj@inspur.com;zhangxiaohong@inspur.com</v>
      </c>
      <c r="AI29" s="35" t="s">
        <v>183</v>
      </c>
      <c r="AJ29" s="35" t="s">
        <v>183</v>
      </c>
      <c r="AK29" s="54" t="s">
        <v>118</v>
      </c>
      <c r="AL29" s="37"/>
      <c r="AM29" s="23"/>
      <c r="AN29" s="19"/>
      <c r="AO29" s="20"/>
      <c r="AP29" s="37"/>
      <c r="AQ29" s="19"/>
      <c r="AR29" s="19"/>
      <c r="AS29" s="19"/>
    </row>
    <row r="30" spans="1:45" ht="16.5" customHeight="1" x14ac:dyDescent="0.35">
      <c r="A30" s="18" t="str">
        <f t="shared" si="0"/>
        <v>ye_hui@inspur.com</v>
      </c>
      <c r="B30" s="18" t="str">
        <f t="shared" si="1"/>
        <v>qinchen@inspur.com;;thz@inspur.com;;kangzp@inspur.com;tangjing@inspur.com;shenfh@inspur.com</v>
      </c>
      <c r="C30" s="19" t="str">
        <f t="shared" si="2"/>
        <v>云服务集团5月业务数据</v>
      </c>
      <c r="D30" s="20" t="str">
        <f t="shared" si="3"/>
        <v>叶总，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30" s="56" t="str">
        <f t="shared" si="4"/>
        <v>F:\工作\3浪潮云服务\市场部\本次发送\工作表合并\海南区.xlsx</v>
      </c>
      <c r="F30" s="70" t="s">
        <v>392</v>
      </c>
      <c r="G30" s="30"/>
      <c r="H30" s="61">
        <f t="shared" si="6"/>
        <v>1</v>
      </c>
      <c r="I30" s="61" t="s">
        <v>391</v>
      </c>
      <c r="J30" s="36"/>
      <c r="N30" s="46" t="s">
        <v>114</v>
      </c>
      <c r="O30" s="1" t="s">
        <v>20</v>
      </c>
      <c r="P30" s="1">
        <v>18608994333</v>
      </c>
      <c r="Q30" s="23" t="s">
        <v>21</v>
      </c>
      <c r="R30" s="21"/>
      <c r="S30" s="53" t="s">
        <v>498</v>
      </c>
      <c r="T30" s="1" t="s">
        <v>532</v>
      </c>
      <c r="U30" s="50" t="s">
        <v>533</v>
      </c>
      <c r="V30" s="19"/>
      <c r="W30" s="19">
        <v>18907623892</v>
      </c>
      <c r="X30" s="4" t="s">
        <v>534</v>
      </c>
      <c r="Y30" s="19"/>
      <c r="Z30" s="68" t="s">
        <v>499</v>
      </c>
      <c r="AA30" s="37" t="s">
        <v>500</v>
      </c>
      <c r="AB30" s="65" t="s">
        <v>183</v>
      </c>
      <c r="AC30" s="19"/>
      <c r="AD30" s="23" t="s">
        <v>234</v>
      </c>
      <c r="AE30" s="19"/>
      <c r="AF30" s="37"/>
      <c r="AG30" s="23" t="s">
        <v>183</v>
      </c>
      <c r="AH30" s="23" t="str">
        <f t="shared" si="5"/>
        <v>;thz@inspur.com;</v>
      </c>
      <c r="AI30" s="35" t="s">
        <v>183</v>
      </c>
      <c r="AJ30" s="35" t="s">
        <v>183</v>
      </c>
      <c r="AK30" s="54" t="s">
        <v>114</v>
      </c>
      <c r="AL30" s="37"/>
      <c r="AM30" s="23"/>
      <c r="AN30" s="19"/>
      <c r="AO30" s="20"/>
      <c r="AP30" s="37"/>
      <c r="AQ30" s="19"/>
      <c r="AR30" s="19"/>
      <c r="AS30" s="19"/>
    </row>
    <row r="31" spans="1:45" ht="16.5" customHeight="1" x14ac:dyDescent="0.35">
      <c r="A31" s="18" t="str">
        <f t="shared" si="0"/>
        <v>songning@inspur.com</v>
      </c>
      <c r="B31" s="18" t="str">
        <f t="shared" si="1"/>
        <v>wangnj@inspur.com;;hanmin@insur.com;;kangzp@inspur.com;tangjing@inspur.com;shenfh@inspur.com</v>
      </c>
      <c r="C31" s="19" t="str">
        <f t="shared" si="2"/>
        <v>云服务集团5月业务数据</v>
      </c>
      <c r="D31" s="20" t="str">
        <f t="shared" si="3"/>
        <v>宋总，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31" s="56" t="str">
        <f t="shared" si="4"/>
        <v>F:\工作\3浪潮云服务\市场部\本次发送\工作表合并\宁夏区.xlsx</v>
      </c>
      <c r="F31" s="70" t="s">
        <v>393</v>
      </c>
      <c r="G31" s="30"/>
      <c r="H31" s="61">
        <f t="shared" si="6"/>
        <v>1</v>
      </c>
      <c r="I31" s="61" t="s">
        <v>392</v>
      </c>
      <c r="J31" s="36"/>
      <c r="N31" s="46" t="s">
        <v>109</v>
      </c>
      <c r="O31" s="1" t="s">
        <v>38</v>
      </c>
      <c r="P31" s="1">
        <v>13309595050</v>
      </c>
      <c r="Q31" s="23" t="s">
        <v>39</v>
      </c>
      <c r="R31" s="21"/>
      <c r="S31" s="53" t="s">
        <v>501</v>
      </c>
      <c r="T31" s="37" t="s">
        <v>155</v>
      </c>
      <c r="U31" s="50" t="s">
        <v>286</v>
      </c>
      <c r="V31" s="19" t="s">
        <v>143</v>
      </c>
      <c r="W31" s="19">
        <v>13909519110</v>
      </c>
      <c r="X31" s="23" t="s">
        <v>173</v>
      </c>
      <c r="Y31" s="19"/>
      <c r="Z31" s="68" t="s">
        <v>501</v>
      </c>
      <c r="AA31" s="37" t="s">
        <v>502</v>
      </c>
      <c r="AB31" s="19" t="s">
        <v>66</v>
      </c>
      <c r="AC31" s="19">
        <v>18991165433</v>
      </c>
      <c r="AD31" s="23" t="s">
        <v>110</v>
      </c>
      <c r="AE31" s="19"/>
      <c r="AF31" s="37"/>
      <c r="AG31" s="23" t="s">
        <v>183</v>
      </c>
      <c r="AH31" s="23" t="str">
        <f t="shared" si="5"/>
        <v>;hanmin@insur.com;</v>
      </c>
      <c r="AI31" s="35" t="s">
        <v>183</v>
      </c>
      <c r="AJ31" s="35" t="s">
        <v>183</v>
      </c>
      <c r="AK31" s="54" t="s">
        <v>163</v>
      </c>
      <c r="AL31" s="37"/>
      <c r="AM31" s="23"/>
      <c r="AN31" s="19"/>
      <c r="AO31" s="20"/>
      <c r="AP31" s="37"/>
      <c r="AQ31" s="19"/>
      <c r="AR31" s="19"/>
      <c r="AS31" s="19"/>
    </row>
    <row r="32" spans="1:45" ht="16.5" customHeight="1" x14ac:dyDescent="0.35">
      <c r="A32" s="18" t="str">
        <f t="shared" si="0"/>
        <v>liuchuanhui@inspur.com</v>
      </c>
      <c r="B32" s="18" t="str">
        <f t="shared" si="1"/>
        <v>liu_gang@inspur.com;miaokai@inspur.com;yangxueli@inspur.com;;kangzp@inspur.com;tangjing@inspur.com;shenfh@inspur.com</v>
      </c>
      <c r="C32" s="19" t="str">
        <f t="shared" si="2"/>
        <v>云服务集团5月业务数据</v>
      </c>
      <c r="D32" s="20" t="str">
        <f t="shared" si="3"/>
        <v>刘总，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32" s="56" t="str">
        <f t="shared" si="4"/>
        <v>F:\工作\3浪潮云服务\市场部\本次发送\工作表合并\青海区.xlsx</v>
      </c>
      <c r="F32" s="70" t="s">
        <v>394</v>
      </c>
      <c r="G32" s="30"/>
      <c r="H32" s="61">
        <f t="shared" si="6"/>
        <v>1</v>
      </c>
      <c r="I32" s="61" t="s">
        <v>393</v>
      </c>
      <c r="J32" s="36"/>
      <c r="N32" s="46" t="s">
        <v>111</v>
      </c>
      <c r="O32" s="1" t="s">
        <v>353</v>
      </c>
      <c r="P32" s="1">
        <v>13893613145</v>
      </c>
      <c r="Q32" s="23" t="s">
        <v>354</v>
      </c>
      <c r="R32" s="21"/>
      <c r="S32" s="53" t="s">
        <v>503</v>
      </c>
      <c r="T32" s="37" t="s">
        <v>427</v>
      </c>
      <c r="U32" s="50" t="s">
        <v>335</v>
      </c>
      <c r="V32" s="19"/>
      <c r="W32" s="19">
        <v>13355412003</v>
      </c>
      <c r="X32" s="23" t="s">
        <v>428</v>
      </c>
      <c r="Y32" s="19"/>
      <c r="Z32" s="68" t="s">
        <v>503</v>
      </c>
      <c r="AA32" s="37" t="s">
        <v>504</v>
      </c>
      <c r="AB32" s="19" t="s">
        <v>66</v>
      </c>
      <c r="AC32" s="19">
        <v>15309719572</v>
      </c>
      <c r="AD32" s="23" t="s">
        <v>112</v>
      </c>
      <c r="AE32" s="19"/>
      <c r="AF32" s="37"/>
      <c r="AG32" s="23" t="s">
        <v>183</v>
      </c>
      <c r="AH32" s="23" t="str">
        <f t="shared" si="5"/>
        <v>miaokai@inspur.com;yangxueli@inspur.com;</v>
      </c>
      <c r="AI32" s="35" t="s">
        <v>183</v>
      </c>
      <c r="AJ32" s="35" t="s">
        <v>183</v>
      </c>
      <c r="AK32" s="54" t="s">
        <v>164</v>
      </c>
      <c r="AL32" s="37" t="s">
        <v>149</v>
      </c>
      <c r="AM32" s="23" t="s">
        <v>300</v>
      </c>
      <c r="AN32" s="19" t="s">
        <v>143</v>
      </c>
      <c r="AO32" s="20">
        <v>18697133660</v>
      </c>
      <c r="AP32" s="37"/>
      <c r="AQ32" s="19"/>
      <c r="AR32" s="19"/>
      <c r="AS32" s="19"/>
    </row>
    <row r="33" spans="1:45" ht="16.5" customHeight="1" x14ac:dyDescent="0.35">
      <c r="A33" s="18" t="str">
        <f t="shared" si="0"/>
        <v>tanghong@inspur.com</v>
      </c>
      <c r="B33" s="18" t="str">
        <f t="shared" si="1"/>
        <v>zhaolj@inspur.com;;aixy@inspur.com;;kangzp@inspur.com;tangjing@inspur.com;shenfh@inspur.com</v>
      </c>
      <c r="C33" s="19" t="str">
        <f t="shared" si="2"/>
        <v>云服务集团5月业务数据</v>
      </c>
      <c r="D33" s="20" t="str">
        <f t="shared" si="3"/>
        <v>唐总，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33" s="56" t="str">
        <f t="shared" si="4"/>
        <v>F:\工作\3浪潮云服务\市场部\本次发送\工作表合并\西藏区.xlsx</v>
      </c>
      <c r="F33" s="70" t="s">
        <v>395</v>
      </c>
      <c r="G33" s="30"/>
      <c r="H33" s="61">
        <f t="shared" si="6"/>
        <v>1</v>
      </c>
      <c r="I33" s="61" t="s">
        <v>394</v>
      </c>
      <c r="J33" s="36"/>
      <c r="N33" s="48" t="s">
        <v>206</v>
      </c>
      <c r="O33" s="3" t="s">
        <v>571</v>
      </c>
      <c r="P33" s="3">
        <v>13376415888</v>
      </c>
      <c r="Q33" s="4" t="s">
        <v>570</v>
      </c>
      <c r="R33" s="22"/>
      <c r="S33" s="53" t="s">
        <v>505</v>
      </c>
      <c r="T33" s="37" t="s">
        <v>208</v>
      </c>
      <c r="U33" s="50" t="s">
        <v>287</v>
      </c>
      <c r="V33" s="19"/>
      <c r="W33" s="19">
        <v>17380628812</v>
      </c>
      <c r="X33" s="23" t="s">
        <v>310</v>
      </c>
      <c r="Y33" s="19"/>
      <c r="Z33" s="68" t="s">
        <v>505</v>
      </c>
      <c r="AA33" s="37" t="s">
        <v>506</v>
      </c>
      <c r="AB33" s="65" t="s">
        <v>183</v>
      </c>
      <c r="AC33" s="19"/>
      <c r="AD33" s="23" t="s">
        <v>255</v>
      </c>
      <c r="AE33" s="19"/>
      <c r="AF33" s="37"/>
      <c r="AG33" s="23" t="s">
        <v>183</v>
      </c>
      <c r="AH33" s="23" t="str">
        <f t="shared" si="5"/>
        <v>;aixy@inspur.com;</v>
      </c>
      <c r="AI33" s="35" t="s">
        <v>183</v>
      </c>
      <c r="AJ33" s="35" t="s">
        <v>183</v>
      </c>
      <c r="AK33" s="54" t="s">
        <v>206</v>
      </c>
      <c r="AL33" s="37"/>
      <c r="AM33" s="23"/>
      <c r="AN33" s="19"/>
      <c r="AO33" s="20"/>
      <c r="AP33" s="37"/>
      <c r="AQ33" s="19"/>
      <c r="AR33" s="19"/>
      <c r="AS33" s="19"/>
    </row>
    <row r="34" spans="1:45" ht="16.5" customHeight="1" x14ac:dyDescent="0.35">
      <c r="A34" s="18" t="str">
        <f t="shared" si="0"/>
        <v/>
      </c>
      <c r="B34" s="18" t="str">
        <f t="shared" si="1"/>
        <v>;;gaozhm@inspur.com;;kangzp@inspur.com;tangjing@inspur.com;shenfh@inspur.com</v>
      </c>
      <c r="C34" s="19" t="str">
        <f t="shared" si="2"/>
        <v>云服务集团5月业务数据</v>
      </c>
      <c r="D34" s="20" t="str">
        <f t="shared" si="3"/>
        <v>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34" s="56" t="str">
        <f t="shared" si="4"/>
        <v>F:\工作\3浪潮云服务\市场部\本次发送\工作表合并\电话销售部.xlsx</v>
      </c>
      <c r="F34" s="37" t="s">
        <v>194</v>
      </c>
      <c r="G34" s="30" t="s">
        <v>183</v>
      </c>
      <c r="H34" s="61" t="str">
        <f t="shared" si="6"/>
        <v/>
      </c>
      <c r="I34" s="61" t="s">
        <v>395</v>
      </c>
      <c r="J34" s="36"/>
      <c r="K34" s="38"/>
      <c r="L34" s="38"/>
      <c r="M34" s="38"/>
      <c r="N34" s="49" t="s">
        <v>194</v>
      </c>
      <c r="O34" s="37"/>
      <c r="P34" s="19"/>
      <c r="Q34" s="23"/>
      <c r="R34" s="19"/>
      <c r="S34" s="53" t="s">
        <v>507</v>
      </c>
      <c r="T34" s="37"/>
      <c r="U34" s="50" t="s">
        <v>183</v>
      </c>
      <c r="V34" s="19"/>
      <c r="W34" s="19"/>
      <c r="X34" s="23"/>
      <c r="Y34" s="19"/>
      <c r="Z34" s="68" t="s">
        <v>507</v>
      </c>
      <c r="AA34" s="37" t="s">
        <v>508</v>
      </c>
      <c r="AB34" s="65" t="s">
        <v>183</v>
      </c>
      <c r="AC34" s="19"/>
      <c r="AD34" s="23" t="s">
        <v>247</v>
      </c>
      <c r="AE34" s="19"/>
      <c r="AF34" s="37"/>
      <c r="AG34" s="23"/>
      <c r="AH34" s="23" t="str">
        <f t="shared" si="5"/>
        <v>;gaozhm@inspur.com;</v>
      </c>
      <c r="AI34" s="35" t="s">
        <v>183</v>
      </c>
      <c r="AJ34" s="35" t="s">
        <v>183</v>
      </c>
      <c r="AK34" s="54" t="s">
        <v>194</v>
      </c>
      <c r="AL34" s="37"/>
      <c r="AM34" s="23"/>
      <c r="AN34" s="19"/>
      <c r="AO34" s="20"/>
      <c r="AP34" s="37"/>
      <c r="AQ34" s="19"/>
      <c r="AR34" s="19"/>
      <c r="AS34" s="19"/>
    </row>
    <row r="35" spans="1:45" ht="16.5" customHeight="1" x14ac:dyDescent="0.35">
      <c r="A35" s="18" t="str">
        <f t="shared" si="0"/>
        <v/>
      </c>
      <c r="B35" s="18" t="str">
        <f t="shared" si="1"/>
        <v>;;wangjiao@inspur.com;;kangzp@inspur.com;tangjing@inspur.com;shenfh@inspur.com</v>
      </c>
      <c r="C35" s="19" t="str">
        <f t="shared" si="2"/>
        <v>云服务集团5月业务数据</v>
      </c>
      <c r="D35" s="20" t="str">
        <f t="shared" si="3"/>
        <v>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35" s="56" t="str">
        <f t="shared" si="4"/>
        <v>F:\工作\3浪潮云服务\市场部\本次发送\工作表合并\区域发展部.xlsx</v>
      </c>
      <c r="F35" s="37" t="s">
        <v>195</v>
      </c>
      <c r="G35" s="30" t="s">
        <v>183</v>
      </c>
      <c r="H35" s="61" t="str">
        <f t="shared" si="6"/>
        <v/>
      </c>
      <c r="I35" s="61" t="s">
        <v>563</v>
      </c>
      <c r="J35" s="36"/>
      <c r="K35" s="38"/>
      <c r="L35" s="38"/>
      <c r="M35" s="38"/>
      <c r="N35" s="49" t="s">
        <v>195</v>
      </c>
      <c r="O35" s="37"/>
      <c r="P35" s="19"/>
      <c r="Q35" s="23"/>
      <c r="R35" s="19"/>
      <c r="S35" s="53" t="s">
        <v>195</v>
      </c>
      <c r="T35" s="37"/>
      <c r="U35" s="50" t="s">
        <v>183</v>
      </c>
      <c r="V35" s="19"/>
      <c r="W35" s="19"/>
      <c r="X35" s="23"/>
      <c r="Y35" s="19"/>
      <c r="Z35" s="68" t="s">
        <v>195</v>
      </c>
      <c r="AA35" s="37" t="s">
        <v>196</v>
      </c>
      <c r="AB35" s="65" t="s">
        <v>183</v>
      </c>
      <c r="AC35" s="19"/>
      <c r="AD35" s="23" t="s">
        <v>225</v>
      </c>
      <c r="AE35" s="19"/>
      <c r="AF35" s="37"/>
      <c r="AG35" s="23"/>
      <c r="AH35" s="23" t="str">
        <f t="shared" si="5"/>
        <v>;wangjiao@inspur.com;</v>
      </c>
      <c r="AI35" s="35" t="s">
        <v>183</v>
      </c>
      <c r="AJ35" s="35" t="s">
        <v>183</v>
      </c>
      <c r="AK35" s="54" t="s">
        <v>195</v>
      </c>
      <c r="AL35" s="37"/>
      <c r="AM35" s="23"/>
      <c r="AN35" s="19"/>
      <c r="AO35" s="20"/>
      <c r="AP35" s="37"/>
      <c r="AQ35" s="19"/>
      <c r="AR35" s="19"/>
      <c r="AS35" s="19"/>
    </row>
    <row r="36" spans="1:45" ht="16.5" customHeight="1" x14ac:dyDescent="0.35">
      <c r="A36" s="18" t="str">
        <f t="shared" si="0"/>
        <v>zhaojun@inspur.com</v>
      </c>
      <c r="B36" s="18" t="str">
        <f t="shared" si="1"/>
        <v>tianht@inspur.com;;liuzhiyu@inspur.com;;kangzp@inspur.com;tangjing@inspur.com;shenfh@inspur.com</v>
      </c>
      <c r="C36" s="19" t="str">
        <f t="shared" si="2"/>
        <v>云服务集团5月业务数据</v>
      </c>
      <c r="D36" s="20" t="str">
        <f t="shared" si="3"/>
        <v>赵总，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36" s="56" t="str">
        <f t="shared" si="4"/>
        <v>F:\工作\3浪潮云服务\市场部\本次发送\工作表合并\政法行业部.xlsx</v>
      </c>
      <c r="F36" s="37" t="s">
        <v>197</v>
      </c>
      <c r="G36" s="30" t="s">
        <v>183</v>
      </c>
      <c r="H36" s="61">
        <f t="shared" si="6"/>
        <v>1</v>
      </c>
      <c r="I36" s="61" t="s">
        <v>574</v>
      </c>
      <c r="J36" s="36"/>
      <c r="K36" s="38"/>
      <c r="L36" s="38"/>
      <c r="M36" s="38"/>
      <c r="N36" s="49" t="s">
        <v>197</v>
      </c>
      <c r="O36" s="1" t="s">
        <v>235</v>
      </c>
      <c r="P36" s="19"/>
      <c r="Q36" s="23" t="s">
        <v>248</v>
      </c>
      <c r="R36" s="19"/>
      <c r="S36" s="53" t="s">
        <v>197</v>
      </c>
      <c r="T36" s="37" t="s">
        <v>241</v>
      </c>
      <c r="U36" s="50" t="s">
        <v>275</v>
      </c>
      <c r="V36" s="19"/>
      <c r="W36" s="19">
        <v>13305317619</v>
      </c>
      <c r="X36" s="23" t="s">
        <v>253</v>
      </c>
      <c r="Y36" s="19"/>
      <c r="Z36" s="68" t="s">
        <v>197</v>
      </c>
      <c r="AA36" s="37" t="s">
        <v>210</v>
      </c>
      <c r="AB36" s="65" t="s">
        <v>183</v>
      </c>
      <c r="AC36" s="19"/>
      <c r="AD36" s="23" t="s">
        <v>226</v>
      </c>
      <c r="AE36" s="19"/>
      <c r="AF36" s="37"/>
      <c r="AG36" s="23"/>
      <c r="AH36" s="23" t="str">
        <f t="shared" si="5"/>
        <v>;liuzhiyu@inspur.com;</v>
      </c>
      <c r="AI36" s="35" t="s">
        <v>183</v>
      </c>
      <c r="AJ36" s="35" t="s">
        <v>183</v>
      </c>
      <c r="AK36" s="54" t="s">
        <v>197</v>
      </c>
      <c r="AL36" s="37"/>
      <c r="AM36" s="23"/>
      <c r="AN36" s="19"/>
      <c r="AO36" s="20"/>
      <c r="AP36" s="37"/>
      <c r="AQ36" s="19"/>
      <c r="AR36" s="19"/>
      <c r="AS36" s="19"/>
    </row>
    <row r="37" spans="1:45" ht="16.5" customHeight="1" x14ac:dyDescent="0.35">
      <c r="A37" s="18" t="str">
        <f t="shared" si="0"/>
        <v>li.yj@inspur.com</v>
      </c>
      <c r="B37" s="18" t="str">
        <f t="shared" si="1"/>
        <v>shiyong@inspur.com;fujt@inspur.com;chenfy@inspur.com;;kangzp@inspur.com;tangjing@inspur.com;shenfh@inspur.com</v>
      </c>
      <c r="C37" s="19" t="str">
        <f t="shared" si="2"/>
        <v>云服务集团5月业务数据</v>
      </c>
      <c r="D37" s="20" t="str">
        <f t="shared" si="3"/>
        <v>李总，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37" s="56" t="str">
        <f t="shared" si="4"/>
        <v>F:\工作\3浪潮云服务\市场部\本次发送\工作表合并\党政教育行业部.xlsx</v>
      </c>
      <c r="F37" s="37" t="s">
        <v>198</v>
      </c>
      <c r="G37" s="30" t="s">
        <v>183</v>
      </c>
      <c r="H37" s="61">
        <f t="shared" si="6"/>
        <v>1</v>
      </c>
      <c r="I37" s="61" t="s">
        <v>336</v>
      </c>
      <c r="J37" s="36"/>
      <c r="K37" s="38"/>
      <c r="L37" s="38"/>
      <c r="M37" s="38"/>
      <c r="N37" s="49" t="s">
        <v>198</v>
      </c>
      <c r="O37" s="1" t="s">
        <v>236</v>
      </c>
      <c r="P37" s="19"/>
      <c r="Q37" s="23" t="s">
        <v>249</v>
      </c>
      <c r="R37" s="19"/>
      <c r="S37" s="53" t="s">
        <v>198</v>
      </c>
      <c r="T37" s="37" t="s">
        <v>242</v>
      </c>
      <c r="U37" s="50" t="s">
        <v>281</v>
      </c>
      <c r="V37" s="19"/>
      <c r="W37" s="19">
        <v>18901155067</v>
      </c>
      <c r="X37" s="23" t="s">
        <v>254</v>
      </c>
      <c r="Y37" s="19"/>
      <c r="Z37" s="68" t="s">
        <v>198</v>
      </c>
      <c r="AA37" s="37" t="s">
        <v>211</v>
      </c>
      <c r="AB37" s="65" t="s">
        <v>183</v>
      </c>
      <c r="AC37" s="19"/>
      <c r="AD37" s="23" t="s">
        <v>227</v>
      </c>
      <c r="AE37" s="19"/>
      <c r="AF37" s="37"/>
      <c r="AG37" s="23"/>
      <c r="AH37" s="23" t="str">
        <f t="shared" si="5"/>
        <v>fujt@inspur.com;chenfy@inspur.com;</v>
      </c>
      <c r="AI37" s="35" t="s">
        <v>183</v>
      </c>
      <c r="AJ37" s="35" t="s">
        <v>183</v>
      </c>
      <c r="AK37" s="54" t="s">
        <v>198</v>
      </c>
      <c r="AL37" s="37" t="s">
        <v>311</v>
      </c>
      <c r="AM37" s="23" t="s">
        <v>312</v>
      </c>
      <c r="AN37" s="19"/>
      <c r="AO37" s="20">
        <v>18600040407</v>
      </c>
      <c r="AP37" s="37"/>
      <c r="AQ37" s="19"/>
      <c r="AR37" s="19"/>
      <c r="AS37" s="19"/>
    </row>
    <row r="38" spans="1:45" ht="16.5" customHeight="1" x14ac:dyDescent="0.35">
      <c r="A38" s="18" t="str">
        <f t="shared" si="0"/>
        <v>zhanglinyfw@inspur.com</v>
      </c>
      <c r="B38" s="18" t="str">
        <f t="shared" si="1"/>
        <v>hushj@inspur.com;;wangjinping@inspur.com;;kangzp@inspur.com;tangjing@inspur.com;shenfh@inspur.com</v>
      </c>
      <c r="C38" s="19" t="str">
        <f t="shared" si="2"/>
        <v>云服务集团5月业务数据</v>
      </c>
      <c r="D38" s="20" t="str">
        <f t="shared" si="3"/>
        <v>张总，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38" s="56" t="str">
        <f t="shared" si="4"/>
        <v>F:\工作\3浪潮云服务\市场部\本次发送\工作表合并\健康监管行业部.xlsx</v>
      </c>
      <c r="F38" s="37" t="s">
        <v>199</v>
      </c>
      <c r="G38" s="30" t="s">
        <v>183</v>
      </c>
      <c r="H38" s="61">
        <f t="shared" si="6"/>
        <v>1</v>
      </c>
      <c r="I38" s="61" t="s">
        <v>575</v>
      </c>
      <c r="J38" s="36"/>
      <c r="K38" s="38"/>
      <c r="L38" s="38"/>
      <c r="M38" s="38"/>
      <c r="N38" s="49" t="s">
        <v>199</v>
      </c>
      <c r="O38" s="1" t="s">
        <v>237</v>
      </c>
      <c r="P38" s="19"/>
      <c r="Q38" s="23" t="s">
        <v>250</v>
      </c>
      <c r="R38" s="19"/>
      <c r="S38" s="53" t="s">
        <v>199</v>
      </c>
      <c r="T38" s="37" t="s">
        <v>437</v>
      </c>
      <c r="U38" s="50" t="s">
        <v>438</v>
      </c>
      <c r="V38" s="19"/>
      <c r="W38" s="19">
        <v>18600500301</v>
      </c>
      <c r="X38" s="23" t="s">
        <v>439</v>
      </c>
      <c r="Y38" s="19"/>
      <c r="Z38" s="68" t="s">
        <v>199</v>
      </c>
      <c r="AA38" s="37" t="s">
        <v>212</v>
      </c>
      <c r="AB38" s="65" t="s">
        <v>183</v>
      </c>
      <c r="AC38" s="19"/>
      <c r="AD38" s="23" t="s">
        <v>228</v>
      </c>
      <c r="AE38" s="19"/>
      <c r="AF38" s="37"/>
      <c r="AG38" s="23"/>
      <c r="AH38" s="23" t="str">
        <f t="shared" si="5"/>
        <v>;wangjinping@inspur.com;</v>
      </c>
      <c r="AI38" s="35" t="s">
        <v>183</v>
      </c>
      <c r="AJ38" s="35" t="s">
        <v>183</v>
      </c>
      <c r="AK38" s="54" t="s">
        <v>199</v>
      </c>
      <c r="AL38" s="37"/>
      <c r="AM38" s="23"/>
      <c r="AN38" s="19"/>
      <c r="AO38" s="20"/>
      <c r="AP38" s="37"/>
      <c r="AQ38" s="19"/>
      <c r="AR38" s="19"/>
      <c r="AS38" s="19"/>
    </row>
    <row r="39" spans="1:45" ht="16.5" customHeight="1" x14ac:dyDescent="0.35">
      <c r="A39" s="18" t="str">
        <f t="shared" si="0"/>
        <v>zhujiong@inspur.com</v>
      </c>
      <c r="B39" s="18" t="str">
        <f t="shared" si="1"/>
        <v>pangst@inspur.com;chenng@inspur.com;zhujiong@inspur.com;zhangxue@inspur.com;;kangzp@inspur.com;tangjing@inspur.com;shenfh@inspur.com</v>
      </c>
      <c r="C39" s="19" t="str">
        <f t="shared" si="2"/>
        <v>云服务集团5月业务数据</v>
      </c>
      <c r="D39" s="20" t="str">
        <f t="shared" si="3"/>
        <v>朱总，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39" s="56" t="str">
        <f t="shared" si="4"/>
        <v>F:\工作\3浪潮云服务\市场部\本次发送\工作表合并\能源交通行业部.xlsx</v>
      </c>
      <c r="F39" s="37" t="s">
        <v>200</v>
      </c>
      <c r="G39" s="30" t="s">
        <v>183</v>
      </c>
      <c r="H39" s="61">
        <f t="shared" si="6"/>
        <v>1</v>
      </c>
      <c r="I39" s="61" t="s">
        <v>203</v>
      </c>
      <c r="J39" s="36"/>
      <c r="K39" s="38"/>
      <c r="L39" s="38"/>
      <c r="M39" s="38"/>
      <c r="N39" s="49" t="s">
        <v>200</v>
      </c>
      <c r="O39" s="1" t="s">
        <v>238</v>
      </c>
      <c r="P39" s="19"/>
      <c r="Q39" s="23" t="s">
        <v>251</v>
      </c>
      <c r="R39" s="19"/>
      <c r="S39" s="53" t="s">
        <v>200</v>
      </c>
      <c r="T39" s="37" t="s">
        <v>433</v>
      </c>
      <c r="U39" s="50" t="s">
        <v>288</v>
      </c>
      <c r="V39" s="19"/>
      <c r="W39" s="19">
        <v>13911595951</v>
      </c>
      <c r="X39" s="23" t="s">
        <v>434</v>
      </c>
      <c r="Y39" s="19"/>
      <c r="Z39" s="68" t="s">
        <v>509</v>
      </c>
      <c r="AA39" s="37" t="s">
        <v>510</v>
      </c>
      <c r="AB39" s="65" t="s">
        <v>183</v>
      </c>
      <c r="AC39" s="19"/>
      <c r="AD39" s="23" t="s">
        <v>265</v>
      </c>
      <c r="AE39" s="19"/>
      <c r="AF39" s="37"/>
      <c r="AG39" s="23"/>
      <c r="AH39" s="23" t="str">
        <f t="shared" si="5"/>
        <v>chenng@inspur.com;zhujiong@inspur.com;zhangxue@inspur.com;</v>
      </c>
      <c r="AI39" s="35" t="s">
        <v>183</v>
      </c>
      <c r="AJ39" s="35" t="s">
        <v>183</v>
      </c>
      <c r="AK39" s="54" t="s">
        <v>200</v>
      </c>
      <c r="AL39" s="37" t="s">
        <v>264</v>
      </c>
      <c r="AM39" s="23" t="s">
        <v>267</v>
      </c>
      <c r="AN39" s="19" t="s">
        <v>268</v>
      </c>
      <c r="AO39" s="20"/>
      <c r="AP39" s="37"/>
      <c r="AQ39" s="19"/>
      <c r="AR39" s="19"/>
      <c r="AS39" s="19"/>
    </row>
    <row r="40" spans="1:45" ht="16.5" customHeight="1" x14ac:dyDescent="0.35">
      <c r="A40" s="18" t="str">
        <f t="shared" si="0"/>
        <v>zhangxinjian@inspur.com</v>
      </c>
      <c r="B40" s="18" t="str">
        <f t="shared" si="1"/>
        <v>fangwei@inspur.com;;tingzhang@inspur.com;;kangzp@inspur.com;tangjing@inspur.com;shenfh@inspur.com</v>
      </c>
      <c r="C40" s="19" t="str">
        <f t="shared" si="2"/>
        <v>云服务集团5月业务数据</v>
      </c>
      <c r="D40" s="20" t="str">
        <f t="shared" si="3"/>
        <v>张总，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40" s="56" t="str">
        <f t="shared" si="4"/>
        <v>F:\工作\3浪潮云服务\市场部\本次发送\工作表合并\特种行业部.xlsx</v>
      </c>
      <c r="F40" s="37" t="s">
        <v>201</v>
      </c>
      <c r="G40" s="30" t="s">
        <v>183</v>
      </c>
      <c r="H40" s="61">
        <f t="shared" si="6"/>
        <v>1</v>
      </c>
      <c r="I40" s="61" t="s">
        <v>564</v>
      </c>
      <c r="J40" s="36"/>
      <c r="K40" s="38"/>
      <c r="L40" s="38"/>
      <c r="M40" s="38"/>
      <c r="N40" s="49" t="s">
        <v>201</v>
      </c>
      <c r="O40" s="1" t="s">
        <v>239</v>
      </c>
      <c r="P40" s="19"/>
      <c r="Q40" s="23" t="s">
        <v>252</v>
      </c>
      <c r="R40" s="19"/>
      <c r="S40" s="53" t="s">
        <v>201</v>
      </c>
      <c r="T40" s="74" t="s">
        <v>530</v>
      </c>
      <c r="U40" s="50" t="s">
        <v>531</v>
      </c>
      <c r="V40" s="19"/>
      <c r="W40" s="19">
        <v>18660780676</v>
      </c>
      <c r="X40" s="4" t="s">
        <v>529</v>
      </c>
      <c r="Y40" s="19"/>
      <c r="Z40" s="68" t="s">
        <v>201</v>
      </c>
      <c r="AA40" s="37" t="s">
        <v>213</v>
      </c>
      <c r="AB40" s="65" t="s">
        <v>183</v>
      </c>
      <c r="AC40" s="19"/>
      <c r="AD40" s="23" t="s">
        <v>229</v>
      </c>
      <c r="AE40" s="19"/>
      <c r="AF40" s="37"/>
      <c r="AG40" s="23"/>
      <c r="AH40" s="23" t="str">
        <f t="shared" si="5"/>
        <v>;tingzhang@inspur.com;</v>
      </c>
      <c r="AI40" s="35" t="s">
        <v>183</v>
      </c>
      <c r="AJ40" s="35" t="s">
        <v>183</v>
      </c>
      <c r="AK40" s="54" t="s">
        <v>201</v>
      </c>
      <c r="AL40" s="37"/>
      <c r="AM40" s="23"/>
      <c r="AN40" s="19"/>
      <c r="AO40" s="20"/>
      <c r="AP40" s="37"/>
      <c r="AQ40" s="19"/>
      <c r="AR40" s="19"/>
      <c r="AS40" s="19"/>
    </row>
    <row r="41" spans="1:45" ht="16.5" customHeight="1" x14ac:dyDescent="0.35">
      <c r="A41" s="18" t="str">
        <f t="shared" si="0"/>
        <v/>
      </c>
      <c r="B41" s="18" t="str">
        <f t="shared" si="1"/>
        <v>;;sunxch@inspur.com;;kangzp@inspur.com;tangjing@inspur.com;shenfh@inspur.com</v>
      </c>
      <c r="C41" s="19" t="str">
        <f t="shared" si="2"/>
        <v>云服务集团5月业务数据</v>
      </c>
      <c r="D41" s="20" t="str">
        <f t="shared" si="3"/>
        <v>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41" s="56" t="str">
        <f t="shared" si="4"/>
        <v>F:\工作\3浪潮云服务\市场部\本次发送\工作表合并\通信行业部.xlsx</v>
      </c>
      <c r="F41" s="37" t="s">
        <v>202</v>
      </c>
      <c r="G41" s="30" t="s">
        <v>183</v>
      </c>
      <c r="H41" s="61" t="str">
        <f t="shared" si="6"/>
        <v/>
      </c>
      <c r="I41" s="61" t="s">
        <v>440</v>
      </c>
      <c r="J41" s="36"/>
      <c r="K41" s="38"/>
      <c r="L41" s="38"/>
      <c r="M41" s="38"/>
      <c r="N41" s="49" t="s">
        <v>202</v>
      </c>
      <c r="O41" s="82" t="s">
        <v>573</v>
      </c>
      <c r="P41" s="19"/>
      <c r="Q41" s="23"/>
      <c r="R41" s="19"/>
      <c r="S41" s="53" t="s">
        <v>202</v>
      </c>
      <c r="T41" s="37"/>
      <c r="U41" s="50" t="s">
        <v>183</v>
      </c>
      <c r="V41" s="19"/>
      <c r="W41" s="19"/>
      <c r="X41" s="23"/>
      <c r="Y41" s="19"/>
      <c r="Z41" s="68" t="s">
        <v>511</v>
      </c>
      <c r="AA41" s="37" t="s">
        <v>214</v>
      </c>
      <c r="AB41" s="65" t="s">
        <v>183</v>
      </c>
      <c r="AC41" s="19"/>
      <c r="AD41" s="23" t="s">
        <v>230</v>
      </c>
      <c r="AE41" s="19"/>
      <c r="AF41" s="37"/>
      <c r="AG41" s="23"/>
      <c r="AH41" s="23" t="str">
        <f t="shared" si="5"/>
        <v>;sunxch@inspur.com;</v>
      </c>
      <c r="AI41" s="35" t="s">
        <v>183</v>
      </c>
      <c r="AJ41" s="35" t="s">
        <v>183</v>
      </c>
      <c r="AK41" s="54" t="s">
        <v>202</v>
      </c>
      <c r="AL41" s="37"/>
      <c r="AM41" s="23"/>
      <c r="AN41" s="19"/>
      <c r="AO41" s="20"/>
      <c r="AP41" s="37"/>
      <c r="AQ41" s="19"/>
      <c r="AR41" s="19"/>
      <c r="AS41" s="19"/>
    </row>
    <row r="42" spans="1:45" ht="16.5" customHeight="1" x14ac:dyDescent="0.35">
      <c r="A42" s="18" t="str">
        <f t="shared" si="0"/>
        <v>liyz@inspur.com</v>
      </c>
      <c r="B42" s="18" t="str">
        <f t="shared" si="1"/>
        <v>suncht@inspur.com;;kanhx@inspur.com;;kangzp@inspur.com;tangjing@inspur.com;shenfh@inspur.com</v>
      </c>
      <c r="C42" s="19" t="str">
        <f t="shared" si="2"/>
        <v>云服务集团5月业务数据</v>
      </c>
      <c r="D42" s="20" t="str">
        <f t="shared" si="3"/>
        <v>李总，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42" s="56" t="str">
        <f t="shared" si="4"/>
        <v>F:\工作\3浪潮云服务\市场部\本次发送\工作表合并\金融行业部.xlsx</v>
      </c>
      <c r="F42" s="37" t="s">
        <v>203</v>
      </c>
      <c r="G42" s="30" t="s">
        <v>183</v>
      </c>
      <c r="H42" s="61">
        <f t="shared" si="6"/>
        <v>1</v>
      </c>
      <c r="I42" s="61" t="s">
        <v>576</v>
      </c>
      <c r="J42" s="36"/>
      <c r="K42" s="38"/>
      <c r="L42" s="38"/>
      <c r="M42" s="38"/>
      <c r="N42" s="49" t="s">
        <v>203</v>
      </c>
      <c r="O42" s="37" t="s">
        <v>338</v>
      </c>
      <c r="P42" s="19"/>
      <c r="Q42" s="23" t="s">
        <v>337</v>
      </c>
      <c r="R42" s="19"/>
      <c r="S42" s="53" t="s">
        <v>203</v>
      </c>
      <c r="T42" s="37" t="s">
        <v>340</v>
      </c>
      <c r="U42" s="50" t="s">
        <v>341</v>
      </c>
      <c r="V42" s="19"/>
      <c r="W42" s="19">
        <v>13905317501</v>
      </c>
      <c r="X42" s="23" t="s">
        <v>339</v>
      </c>
      <c r="Y42" s="19"/>
      <c r="Z42" s="68" t="s">
        <v>512</v>
      </c>
      <c r="AA42" s="37" t="s">
        <v>215</v>
      </c>
      <c r="AB42" s="65" t="s">
        <v>183</v>
      </c>
      <c r="AC42" s="19"/>
      <c r="AD42" s="23" t="s">
        <v>231</v>
      </c>
      <c r="AE42" s="19"/>
      <c r="AF42" s="37"/>
      <c r="AG42" s="23"/>
      <c r="AH42" s="23" t="str">
        <f t="shared" si="5"/>
        <v>;kanhx@inspur.com;</v>
      </c>
      <c r="AI42" s="35" t="s">
        <v>183</v>
      </c>
      <c r="AJ42" s="35" t="s">
        <v>183</v>
      </c>
      <c r="AK42" s="54" t="s">
        <v>203</v>
      </c>
      <c r="AL42" s="37"/>
      <c r="AM42" s="23"/>
      <c r="AN42" s="19"/>
      <c r="AO42" s="20"/>
      <c r="AP42" s="37"/>
      <c r="AQ42" s="19"/>
      <c r="AR42" s="19"/>
      <c r="AS42" s="19"/>
    </row>
    <row r="43" spans="1:45" ht="16.5" customHeight="1" x14ac:dyDescent="0.35">
      <c r="A43" s="18" t="str">
        <f t="shared" si="0"/>
        <v/>
      </c>
      <c r="B43" s="18" t="str">
        <f t="shared" si="1"/>
        <v>;;li-xiaojing@inspur.com;;kangzp@inspur.com;tangjing@inspur.com;shenfh@inspur.com</v>
      </c>
      <c r="C43" s="19" t="str">
        <f t="shared" si="2"/>
        <v>云服务集团5月业务数据</v>
      </c>
      <c r="D43" s="20" t="str">
        <f t="shared" si="3"/>
        <v>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43" s="56" t="str">
        <f t="shared" si="4"/>
        <v>F:\工作\3浪潮云服务\市场部\本次发送\工作表合并\互联网行业部.xlsx</v>
      </c>
      <c r="F43" s="37" t="s">
        <v>204</v>
      </c>
      <c r="G43" s="30" t="s">
        <v>183</v>
      </c>
      <c r="H43" s="61" t="str">
        <f t="shared" si="6"/>
        <v/>
      </c>
      <c r="I43" s="61"/>
      <c r="J43" s="36"/>
      <c r="K43" s="38"/>
      <c r="L43" s="38"/>
      <c r="M43" s="38"/>
      <c r="N43" s="49" t="s">
        <v>204</v>
      </c>
      <c r="O43" s="82" t="s">
        <v>572</v>
      </c>
      <c r="P43" s="19"/>
      <c r="Q43" s="23"/>
      <c r="R43" s="19"/>
      <c r="S43" s="53" t="s">
        <v>204</v>
      </c>
      <c r="T43" s="37"/>
      <c r="U43" s="50" t="s">
        <v>183</v>
      </c>
      <c r="V43" s="19"/>
      <c r="W43" s="19"/>
      <c r="X43" s="23"/>
      <c r="Y43" s="19"/>
      <c r="Z43" s="68" t="s">
        <v>513</v>
      </c>
      <c r="AA43" s="37" t="s">
        <v>514</v>
      </c>
      <c r="AB43" s="65" t="s">
        <v>183</v>
      </c>
      <c r="AC43" s="19"/>
      <c r="AD43" s="23" t="s">
        <v>232</v>
      </c>
      <c r="AE43" s="19"/>
      <c r="AF43" s="37"/>
      <c r="AG43" s="23"/>
      <c r="AH43" s="23" t="str">
        <f t="shared" si="5"/>
        <v>;li-xiaojing@inspur.com;</v>
      </c>
      <c r="AI43" s="35" t="s">
        <v>183</v>
      </c>
      <c r="AJ43" s="35" t="s">
        <v>183</v>
      </c>
      <c r="AK43" s="54" t="s">
        <v>204</v>
      </c>
      <c r="AL43" s="37"/>
      <c r="AM43" s="23"/>
      <c r="AN43" s="19"/>
      <c r="AO43" s="20"/>
      <c r="AP43" s="37"/>
      <c r="AQ43" s="19"/>
      <c r="AR43" s="19"/>
      <c r="AS43" s="19"/>
    </row>
    <row r="44" spans="1:45" ht="16.5" customHeight="1" x14ac:dyDescent="0.35">
      <c r="A44" s="18" t="str">
        <f t="shared" si="0"/>
        <v>jingyx@inspur.com</v>
      </c>
      <c r="B44" s="18" t="str">
        <f t="shared" si="1"/>
        <v>huhg@inspur.com;;zhanglinjun@inspur.com;;kangzp@inspur.com;tangjing@inspur.com;shenfh@inspur.com</v>
      </c>
      <c r="C44" s="19" t="str">
        <f t="shared" si="2"/>
        <v>云服务集团5月业务数据</v>
      </c>
      <c r="D44" s="20" t="str">
        <f t="shared" si="3"/>
        <v>井总，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44" s="56" t="str">
        <f t="shared" si="4"/>
        <v>F:\工作\3浪潮云服务\市场部\本次发送\工作表合并\大企业市场部.xlsx</v>
      </c>
      <c r="F44" s="37" t="s">
        <v>315</v>
      </c>
      <c r="G44" s="30" t="s">
        <v>183</v>
      </c>
      <c r="H44" s="61">
        <f t="shared" si="6"/>
        <v>1</v>
      </c>
      <c r="I44" s="61"/>
      <c r="J44" s="36"/>
      <c r="K44" s="38"/>
      <c r="L44" s="38"/>
      <c r="M44" s="38"/>
      <c r="N44" s="49" t="s">
        <v>410</v>
      </c>
      <c r="O44" s="37" t="s">
        <v>240</v>
      </c>
      <c r="P44" s="19"/>
      <c r="Q44" s="23" t="s">
        <v>314</v>
      </c>
      <c r="R44" s="19"/>
      <c r="S44" s="53" t="s">
        <v>410</v>
      </c>
      <c r="T44" s="37" t="s">
        <v>326</v>
      </c>
      <c r="U44" s="50" t="s">
        <v>327</v>
      </c>
      <c r="V44" s="19"/>
      <c r="W44" s="19">
        <v>13911226521</v>
      </c>
      <c r="X44" s="23" t="s">
        <v>325</v>
      </c>
      <c r="Y44" s="19"/>
      <c r="Z44" s="68" t="s">
        <v>515</v>
      </c>
      <c r="AA44" s="37" t="s">
        <v>216</v>
      </c>
      <c r="AB44" s="65" t="s">
        <v>183</v>
      </c>
      <c r="AC44" s="19"/>
      <c r="AD44" s="23" t="s">
        <v>233</v>
      </c>
      <c r="AE44" s="19"/>
      <c r="AF44" s="37"/>
      <c r="AG44" s="23"/>
      <c r="AH44" s="23" t="str">
        <f t="shared" si="5"/>
        <v>;zhanglinjun@inspur.com;</v>
      </c>
      <c r="AI44" s="35" t="s">
        <v>183</v>
      </c>
      <c r="AJ44" s="35" t="s">
        <v>183</v>
      </c>
      <c r="AK44" s="54" t="s">
        <v>410</v>
      </c>
      <c r="AL44" s="37"/>
      <c r="AM44" s="23"/>
      <c r="AN44" s="19"/>
      <c r="AO44" s="20"/>
      <c r="AP44" s="37"/>
      <c r="AQ44" s="19"/>
      <c r="AR44" s="19"/>
      <c r="AS44" s="19"/>
    </row>
    <row r="45" spans="1:45" ht="16.5" customHeight="1" x14ac:dyDescent="0.35">
      <c r="A45" s="18" t="str">
        <f t="shared" ref="A45" si="7">IF(ISBLANK(X45),"",X45)</f>
        <v>zhengdw@inspur.com</v>
      </c>
      <c r="B45" s="18" t="str">
        <f t="shared" ref="B45" si="8">Q45&amp;$L$2&amp;AH45&amp;$L$2&amp;$K$2</f>
        <v>yanggp@inspur.com;;kangzp@inspur.com;tangjing@inspur.com;shenfh@inspur.com</v>
      </c>
      <c r="C45" s="19" t="str">
        <f t="shared" si="2"/>
        <v>云服务集团5月业务数据</v>
      </c>
      <c r="D45" s="20" t="str">
        <f t="shared" ref="D45" si="9">U45&amp;$M$2</f>
        <v>郑总，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45" s="56" t="str">
        <f t="shared" si="4"/>
        <v>F:\工作\3浪潮云服务\市场部\本次发送\工作表合并\建筑行业部.xlsx</v>
      </c>
      <c r="F45" s="37" t="s">
        <v>411</v>
      </c>
      <c r="G45" s="39"/>
      <c r="H45" s="61">
        <f t="shared" si="6"/>
        <v>1</v>
      </c>
      <c r="I45" s="61"/>
      <c r="J45" s="36"/>
      <c r="K45" s="38"/>
      <c r="L45" s="38"/>
      <c r="M45" s="38"/>
      <c r="N45" s="49" t="s">
        <v>411</v>
      </c>
      <c r="O45" s="37" t="s">
        <v>441</v>
      </c>
      <c r="P45" s="19"/>
      <c r="Q45" s="23" t="s">
        <v>442</v>
      </c>
      <c r="R45" s="19"/>
      <c r="S45" s="53" t="s">
        <v>411</v>
      </c>
      <c r="T45" s="37" t="s">
        <v>412</v>
      </c>
      <c r="U45" s="50" t="s">
        <v>413</v>
      </c>
      <c r="V45" s="19"/>
      <c r="W45" s="19">
        <v>18618357088</v>
      </c>
      <c r="X45" s="23" t="s">
        <v>414</v>
      </c>
      <c r="Y45" s="19"/>
      <c r="Z45" s="68"/>
      <c r="AA45" s="37"/>
      <c r="AB45" s="65" t="s">
        <v>183</v>
      </c>
      <c r="AC45" s="19"/>
      <c r="AD45" s="23"/>
      <c r="AE45" s="19"/>
      <c r="AF45" s="37"/>
      <c r="AG45" s="23"/>
      <c r="AH45" s="23"/>
      <c r="AI45" s="35"/>
      <c r="AJ45" s="35" t="s">
        <v>183</v>
      </c>
      <c r="AK45" s="54"/>
      <c r="AL45" s="37"/>
      <c r="AM45" s="23"/>
      <c r="AN45" s="19"/>
      <c r="AO45" s="20"/>
      <c r="AP45" s="37"/>
      <c r="AQ45" s="19"/>
      <c r="AR45" s="19"/>
      <c r="AS45" s="19"/>
    </row>
  </sheetData>
  <autoFilter ref="A1:AS1"/>
  <phoneticPr fontId="6" type="noConversion"/>
  <hyperlinks>
    <hyperlink ref="AM22" r:id="rId1"/>
    <hyperlink ref="AM39" r:id="rId2"/>
    <hyperlink ref="AG26" r:id="rId3"/>
    <hyperlink ref="AM37" r:id="rId4"/>
    <hyperlink ref="AG25" r:id="rId5"/>
    <hyperlink ref="X25" r:id="rId6"/>
    <hyperlink ref="X13" r:id="rId7"/>
    <hyperlink ref="X44" r:id="rId8"/>
    <hyperlink ref="AS22" r:id="rId9"/>
    <hyperlink ref="X19" r:id="rId10"/>
    <hyperlink ref="X21" r:id="rId11"/>
    <hyperlink ref="X42" r:id="rId12"/>
    <hyperlink ref="X16" r:id="rId13"/>
    <hyperlink ref="AM25" r:id="rId14"/>
    <hyperlink ref="X18" r:id="rId15"/>
    <hyperlink ref="X22" r:id="rId16"/>
    <hyperlink ref="AG7" r:id="rId17"/>
    <hyperlink ref="X4" r:id="rId18"/>
    <hyperlink ref="X11" r:id="rId19"/>
    <hyperlink ref="X23" r:id="rId20"/>
    <hyperlink ref="X45" r:id="rId21"/>
    <hyperlink ref="X26" r:id="rId22"/>
    <hyperlink ref="X9" r:id="rId23"/>
    <hyperlink ref="X32" r:id="rId24"/>
    <hyperlink ref="X20" r:id="rId25"/>
    <hyperlink ref="X39" r:id="rId26"/>
    <hyperlink ref="X40" r:id="rId27"/>
    <hyperlink ref="X30" r:id="rId28"/>
    <hyperlink ref="Q11" r:id="rId29"/>
    <hyperlink ref="Q33" r:id="rId30"/>
  </hyperlinks>
  <pageMargins left="0.7" right="0.7" top="0.75" bottom="0.75" header="0.3" footer="0.3"/>
  <pageSetup paperSize="9" orientation="portrait" r:id="rId31"/>
  <drawing r:id="rId32"/>
  <legacyDrawing r:id="rId3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4" name="Button 1">
              <controlPr defaultSize="0" print="0" autoFill="0" autoPict="0" macro="[0]!批量发送邮件">
                <anchor moveWithCells="1">
                  <from>
                    <xdr:col>1</xdr:col>
                    <xdr:colOff>371475</xdr:colOff>
                    <xdr:row>0</xdr:row>
                    <xdr:rowOff>19050</xdr:rowOff>
                  </from>
                  <to>
                    <xdr:col>1</xdr:col>
                    <xdr:colOff>857250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X45"/>
  <sheetViews>
    <sheetView showGridLines="0" zoomScale="90" zoomScaleNormal="90" workbookViewId="0">
      <selection activeCell="B2" sqref="B2"/>
    </sheetView>
  </sheetViews>
  <sheetFormatPr defaultRowHeight="15.75" customHeight="1" outlineLevelCol="1" x14ac:dyDescent="0.15"/>
  <cols>
    <col min="1" max="1" width="4.25" style="24" customWidth="1"/>
    <col min="2" max="2" width="7.625" style="24" customWidth="1"/>
    <col min="3" max="3" width="9.5" style="26" customWidth="1"/>
    <col min="4" max="4" width="17.125" style="26" customWidth="1"/>
    <col min="5" max="5" width="11.5" style="24" customWidth="1"/>
    <col min="6" max="6" width="7.5" style="29" customWidth="1"/>
    <col min="7" max="7" width="2.875" style="40" customWidth="1"/>
    <col min="8" max="8" width="3.625" style="40" customWidth="1"/>
    <col min="9" max="9" width="7.5" style="40" customWidth="1"/>
    <col min="10" max="10" width="16.25" style="26" customWidth="1"/>
    <col min="11" max="11" width="12" style="40" customWidth="1"/>
    <col min="12" max="12" width="6" style="26" customWidth="1"/>
    <col min="13" max="13" width="14.125" style="26" customWidth="1"/>
    <col min="14" max="14" width="11.875" style="26" customWidth="1"/>
    <col min="15" max="15" width="12.625" style="26" customWidth="1"/>
    <col min="16" max="17" width="8.875" style="26" customWidth="1"/>
    <col min="18" max="18" width="4.5" style="41" customWidth="1"/>
    <col min="19" max="19" width="6.375" style="29" customWidth="1"/>
    <col min="20" max="20" width="10.75" style="26" customWidth="1"/>
    <col min="21" max="21" width="5.25" style="42" customWidth="1"/>
    <col min="22" max="22" width="10.75" style="26" hidden="1" customWidth="1"/>
    <col min="23" max="23" width="4.5" style="43" customWidth="1"/>
    <col min="24" max="24" width="5.5" style="29" customWidth="1"/>
    <col min="25" max="25" width="5.75" style="26" customWidth="1"/>
    <col min="26" max="26" width="3.25" style="26" hidden="1" customWidth="1"/>
    <col min="27" max="27" width="12.625" style="26" customWidth="1"/>
    <col min="28" max="28" width="4.625" style="25" customWidth="1"/>
    <col min="29" max="29" width="12" style="26" hidden="1" customWidth="1"/>
    <col min="30" max="30" width="5.25" style="24" customWidth="1"/>
    <col min="31" max="31" width="8" style="26" customWidth="1"/>
    <col min="32" max="32" width="7.25" style="26" hidden="1" customWidth="1"/>
    <col min="33" max="33" width="12.25" style="26" hidden="1" customWidth="1"/>
    <col min="34" max="34" width="5.125" style="25" customWidth="1"/>
    <col min="35" max="35" width="8.25" style="26" hidden="1" customWidth="1"/>
    <col min="36" max="36" width="7" style="26" customWidth="1" outlineLevel="1"/>
    <col min="37" max="37" width="3.875" style="25" customWidth="1" outlineLevel="1"/>
    <col min="38" max="38" width="5.125" style="25" customWidth="1" outlineLevel="1"/>
    <col min="39" max="39" width="3.5" style="26" customWidth="1" outlineLevel="1"/>
    <col min="40" max="40" width="2.75" style="26" customWidth="1" outlineLevel="1"/>
    <col min="41" max="41" width="10.875" style="26" customWidth="1" outlineLevel="1"/>
    <col min="42" max="42" width="7.75" style="29" customWidth="1" outlineLevel="1"/>
    <col min="43" max="43" width="5.625" style="25" customWidth="1" outlineLevel="1"/>
    <col min="44" max="44" width="7.5" style="26" customWidth="1" outlineLevel="1"/>
    <col min="45" max="45" width="12.875" style="43" customWidth="1" outlineLevel="1"/>
    <col min="46" max="46" width="6.25" style="26" customWidth="1" outlineLevel="1"/>
    <col min="47" max="47" width="7" style="26" customWidth="1" outlineLevel="1"/>
    <col min="48" max="48" width="14.5" style="26" customWidth="1" outlineLevel="1"/>
    <col min="49" max="49" width="9" style="26" customWidth="1" outlineLevel="1"/>
    <col min="51" max="16384" width="9" style="26"/>
  </cols>
  <sheetData>
    <row r="1" spans="1:49" s="29" customFormat="1" ht="15.75" customHeight="1" x14ac:dyDescent="0.35">
      <c r="A1" s="66" t="s">
        <v>3</v>
      </c>
      <c r="B1" s="66" t="s">
        <v>4</v>
      </c>
      <c r="C1" s="14" t="s">
        <v>0</v>
      </c>
      <c r="D1" s="14" t="s">
        <v>589</v>
      </c>
      <c r="E1" s="66" t="s">
        <v>2</v>
      </c>
      <c r="F1" s="14" t="s">
        <v>6</v>
      </c>
      <c r="G1" s="14"/>
      <c r="H1" s="14" t="s">
        <v>188</v>
      </c>
      <c r="I1" s="14" t="s">
        <v>271</v>
      </c>
      <c r="J1" s="14" t="s">
        <v>245</v>
      </c>
      <c r="K1" s="14" t="s">
        <v>0</v>
      </c>
      <c r="L1" s="14" t="s">
        <v>579</v>
      </c>
      <c r="M1" s="14" t="s">
        <v>588</v>
      </c>
      <c r="N1" s="14" t="s">
        <v>581</v>
      </c>
      <c r="O1" s="14" t="s">
        <v>582</v>
      </c>
      <c r="P1" s="14" t="s">
        <v>583</v>
      </c>
      <c r="Q1" s="14" t="s">
        <v>587</v>
      </c>
      <c r="R1" s="10" t="s">
        <v>113</v>
      </c>
      <c r="S1" s="10" t="s">
        <v>158</v>
      </c>
      <c r="T1" s="11" t="s">
        <v>8</v>
      </c>
      <c r="U1" s="12" t="s">
        <v>244</v>
      </c>
      <c r="V1" s="10" t="s">
        <v>9</v>
      </c>
      <c r="W1" s="51" t="s">
        <v>140</v>
      </c>
      <c r="X1" s="13" t="s">
        <v>156</v>
      </c>
      <c r="Y1" s="13" t="s">
        <v>273</v>
      </c>
      <c r="Z1" s="13" t="s">
        <v>141</v>
      </c>
      <c r="AA1" s="13" t="s">
        <v>63</v>
      </c>
      <c r="AB1" s="44" t="s">
        <v>142</v>
      </c>
      <c r="AC1" s="13" t="s">
        <v>9</v>
      </c>
      <c r="AD1" s="66" t="s">
        <v>5</v>
      </c>
      <c r="AE1" s="14" t="s">
        <v>157</v>
      </c>
      <c r="AF1" s="14" t="s">
        <v>62</v>
      </c>
      <c r="AG1" s="14" t="s">
        <v>63</v>
      </c>
      <c r="AH1" s="55" t="s">
        <v>64</v>
      </c>
      <c r="AI1" s="14" t="s">
        <v>159</v>
      </c>
      <c r="AJ1" s="14" t="s">
        <v>243</v>
      </c>
      <c r="AK1" s="55" t="s">
        <v>244</v>
      </c>
      <c r="AL1" s="55" t="s">
        <v>269</v>
      </c>
      <c r="AM1" s="27" t="s">
        <v>183</v>
      </c>
      <c r="AN1" s="14"/>
      <c r="AO1" s="14" t="s">
        <v>5</v>
      </c>
      <c r="AP1" s="14" t="s">
        <v>259</v>
      </c>
      <c r="AQ1" s="55" t="s">
        <v>260</v>
      </c>
      <c r="AR1" s="14" t="s">
        <v>262</v>
      </c>
      <c r="AS1" s="28" t="s">
        <v>301</v>
      </c>
      <c r="AT1" s="14"/>
      <c r="AU1" s="14"/>
      <c r="AV1" s="14"/>
      <c r="AW1" s="14"/>
    </row>
    <row r="2" spans="1:49" ht="99" customHeight="1" x14ac:dyDescent="0.35">
      <c r="A2" s="15" t="str">
        <f t="shared" ref="A2" si="0">IF(ISBLANK(AB2),"",AB2)</f>
        <v>shenfh@inspur.com</v>
      </c>
      <c r="B2" s="15" t="str">
        <f>U2&amp;";"&amp;AL2</f>
        <v>shenfh@inspur.com;;shenfh@inspur.com;</v>
      </c>
      <c r="C2" s="16" t="str">
        <f>$K$2</f>
        <v>FY2016贵部签单/回款决算明细</v>
      </c>
      <c r="D2" s="17" t="str">
        <f>$J$3&amp;L2&amp;$J$4&amp;N2&amp;$J$5&amp;Q2&amp;$J$6&amp;O2&amp;$J$7&amp;P2&amp;$J$8</f>
        <v>&lt;font face="微软雅黑" size=”11.0pt” color="黑色"&gt;A总&lt;br/&gt;&amp;nbsp;&amp;nbsp;&amp;nbsp;&amp;nbsp;&amp;nbsp;      
    您好! 这是表格之前的正文。&lt;br/&gt;&lt;/font&gt;
&lt;head&gt;
&lt;meta http-equiv=Content-Type content=""text/html; charset=gb2312""&gt;
&lt;meta name=ProgId content=Excel.Sheet&gt;
&lt;meta name=Generator content=""Microsoft Excel 15""&gt;
&lt;link rel=File-List href=""She1.files/filelist.xml""&gt;
&lt;style id=""ToHtml_740_Styles""&gt;
&lt;!--table
 {mso-displayed-decimal-separator:""\."";
 mso-displayed-thousand-separator:""\,"";}
.font5740
 {color:windowtext;
 font-size:9.0pt;
 font-weight:400;
 font-style:normal;
 text-decoration:none;
 font-family:宋体;
 mso-generic-font-family:auto;
 mso-font-charset:134;}
.xl15740
 {padding-top:1px;
 padding-right:1px;
 padding-left:1px;
 mso-ignore:padding;
 color:black;
 font-size:11.0pt;
 font-weight:400;
 font-style:normal;
 text-decoration:none;
 font-family:宋体;
 mso-generic-font-family:auto;
 mso-font-charset:134;
 mso-number-format:General;
 text-align:general;
 vertical-align:bottom;
 mso-background-source:auto;
 mso-pattern:auto;
 white-space:nowrap;}
.xl63740
 {padding-top:1px;
 padding-right:1px;
 padding-left:1px;
 mso-ignore:padding;
 color:white;
 font-size:11.0pt;
 font-weight:400;
 font-style:normal;
 text-decoration:none;
 font-family:微软雅黑, sans-serif;
 mso-font-charset:134;
 mso-number-format:General;
 text-align:center;
 vertical-align:bottom;
 border:.5pt solid windowtext;
 background:#0070C0;
 mso-pattern:black none;
 white-space:nowrap;}
.xl64740
 {padding-top:1px;
 padding-right:1px;
 padding-left:1px;
 mso-ignore:padding;
 color:black;
 font-size:11.0pt;
 font-weight:400;
 font-style:normal;
 text-decoration:none;
 font-family:微软雅黑, sans-serif;
 mso-font-charset:134;
 mso-number-format:General;
 text-align:center;
 vertical-align:bottom;
 border:.5pt solid windowtext;
 mso-background-source:auto;
 mso-pattern:auto;
 white-space:nowrap;}
ruby
 {ruby-align:left;}
rt
 {color:windowtext;
 font-size:9.0pt;
 font-weight:400;
 font-style:normal;
 text-decoration:none;
 font-family:宋体;
 mso-generic-font-family:auto;
 mso-font-charset:134;
 mso-char-type:none;}
--&gt;
&lt;/style&gt;
&lt;/head&gt;
&lt;body&gt;
&lt;!--[if !excel]&gt;　　&lt;![endif]--&gt;
&lt;!--下列信息由 Microsoft Excel 的发布为网页向导生成。--&gt;
&lt;!--如果同一条目从 Excel 中重新发布，则所有位于 DIV 标记之间的信息均将被替换。--&gt;
&lt;!-----------------------------&gt;
&lt;!--“从 EXCEL 发布网页”向导开始--&gt;
&lt;!-----------------------------&gt;
&lt;div id=""ToHtml_740"" align=left x:publishsource=""Excel""&gt;
&lt;table border=0 cellpadding=0 cellspacing=0 width=351 style='border-collapse:
 collapse;table-layout:fixed;width:264pt'&gt;
 &lt;col width=37 style='mso-width-source:userset;mso-width-alt:1184;width:28pt'&gt;
 &lt;col width=131 style='mso-width-source:userset;mso-width-alt:4192;width:98pt'&gt;
 &lt;col width=93 style='mso-width-source:userset;mso-width-alt:2976;width:70pt'&gt;
 &lt;col width=90 style='mso-width-source:userset;mso-width-alt:2880;width:68pt'&gt;
 &lt;tr height=22 style='height:16.5pt'&gt;
  &lt;td height=22 class=xl15740 width=37 style='height:16.5pt;width:28pt'&gt;&lt;span
  style='mso-spacerun:yes'&gt;&amp;nbsp;&amp;nbsp;&amp;nbsp;&amp;nbsp;&lt;/span&gt;&lt;/td&gt;
  &lt;td class=xl63740 width=131 style='width:98pt'&gt;sdfas阿斯顿发生&lt;/td&gt;
  &lt;td class=xl63740 width=93 style='border-left:none;width:70pt'&gt;阿斯蒂芬&lt;/td&gt;
  &lt;td class=xl63740 width=90 style='border-left:none;width:68pt'&gt;阿斯蒂芬&lt;/td&gt;
 &lt;/tr&gt;
 &lt;tr height=22 style='height:16.5pt'&gt;
  &lt;td height=22 class=xl15740 style='height:16.5pt'&gt;&lt;/td&gt;
  &lt;td class=xl64740 style='border-top:none'&gt;阿斯蒂芬&lt;/td&gt;
  &lt;td class=xl64740 style='border-top:none;border-left:none'&gt;打发&lt;/td&gt;
  &lt;td class=xl64740 style='border-top:none;border-left:none'&gt;短松冈&lt;/td&gt;
 &lt;/tr&gt;
 &lt;tr height=22 style='height:16.5pt'&gt;
  &lt;td height=22 class=xl15740 style='height:16.5pt'&gt;&lt;/td&gt;
  &lt;td class=xl64740 style='border-top:none'&gt;啥地方&lt;/td&gt;
  &lt;td class=xl64740 style='border-top:none;border-left:none'&gt;阿斯蒂芬&lt;/td&gt;
  &lt;td class=xl64740 style='border-top:none;border-left:none'&gt;办法&lt;/td&gt;
 &lt;/tr&gt;
 &lt;![if supportMisalignedColumns]&gt;
 &lt;tr height=0 style='display:none'&gt;
  &lt;td width=37 style='width:28pt'&gt;&lt;/td&gt;
  &lt;td width=131 style='width:98pt'&gt;&lt;/td&gt;
  &lt;td width=93 style='width:70pt'&gt;&lt;/td&gt;
  &lt;td width=90 style='width:68pt'&gt;&lt;/td&gt;
 &lt;/tr&gt;
 &lt;![endif]&gt;
&lt;/table&gt;
&lt;/div&gt;
&lt;!-----------------------------&gt;
&lt;!--“从 EXCEL 发布网页”向导结束--&gt;
&lt;!-----------------------------&gt;
&lt;/body&gt;&lt;font face="微软雅黑" size=”11.0pt” color="黑色"&gt;&amp;nbsp;&amp;nbsp;&amp;nbsp;&amp;nbsp;&amp;nbsp;    表格后正文&lt;br/&gt;&lt;br/&gt;&amp;nbsp;&amp;nbsp;&amp;nbsp;&amp;nbsp;&amp;nbsp;     云服务集团市场部&lt;/font&gt;</v>
      </c>
      <c r="E2" s="15" t="str">
        <f>"F:\工作\3浪潮云服务\市场部\本次发送\工作表合并\"&amp;F2&amp;".xlsx"</f>
        <v>F:\工作\3浪潮云服务\市场部\本次发送\工作表合并\测试.xlsx</v>
      </c>
      <c r="F2" s="57" t="s">
        <v>7</v>
      </c>
      <c r="G2" s="30" t="s">
        <v>183</v>
      </c>
      <c r="H2" s="60">
        <v>1</v>
      </c>
      <c r="I2" s="60"/>
      <c r="J2" s="86" t="s">
        <v>577</v>
      </c>
      <c r="K2" s="81" t="s">
        <v>578</v>
      </c>
      <c r="L2" s="81" t="s">
        <v>580</v>
      </c>
      <c r="M2" s="17" t="str">
        <f>L2&amp;"，"&amp;$N$2&amp;CHAR(10)&amp;CHAR(32)&amp;CHAR(32)&amp;CHAR(32)&amp;CHAR(32)&amp;"[表格]"&amp;CHAR(10)&amp;O2&amp;CHAR(10)&amp;P2</f>
        <v>A总，      
    您好! 这是表格之前的正文。
    [表格]
    表格后正文
     云服务集团市场部</v>
      </c>
      <c r="N2" s="79" t="s">
        <v>584</v>
      </c>
      <c r="O2" s="79" t="s">
        <v>585</v>
      </c>
      <c r="P2" s="79" t="s">
        <v>586</v>
      </c>
      <c r="Q2" s="79" t="s">
        <v>597</v>
      </c>
      <c r="R2" s="5" t="s">
        <v>174</v>
      </c>
      <c r="S2" s="6" t="s">
        <v>184</v>
      </c>
      <c r="T2" s="7">
        <v>15589965595</v>
      </c>
      <c r="U2" s="25" t="s">
        <v>299</v>
      </c>
      <c r="V2" s="6"/>
      <c r="W2" s="52"/>
      <c r="X2" s="9" t="s">
        <v>186</v>
      </c>
      <c r="Y2" s="9" t="s">
        <v>274</v>
      </c>
      <c r="Z2" s="8"/>
      <c r="AA2" s="45">
        <v>15589965595</v>
      </c>
      <c r="AB2" s="45" t="s">
        <v>299</v>
      </c>
      <c r="AC2" s="9"/>
      <c r="AD2" s="67"/>
      <c r="AE2" s="33" t="s">
        <v>185</v>
      </c>
      <c r="AF2" s="62" t="s">
        <v>183</v>
      </c>
      <c r="AG2" s="33">
        <v>15589965595</v>
      </c>
      <c r="AH2" s="23" t="s">
        <v>299</v>
      </c>
      <c r="AI2" s="34"/>
      <c r="AJ2" s="63" t="s">
        <v>183</v>
      </c>
      <c r="AK2" s="56"/>
      <c r="AL2" s="56" t="str">
        <f>AQ2&amp;";"&amp;AH2&amp;";"&amp;AK2</f>
        <v>;shenfh@inspur.com;</v>
      </c>
      <c r="AM2" s="35" t="s">
        <v>183</v>
      </c>
      <c r="AN2" s="35" t="s">
        <v>183</v>
      </c>
      <c r="AO2" s="58"/>
      <c r="AP2" s="37"/>
      <c r="AQ2" s="23"/>
      <c r="AR2" s="19"/>
      <c r="AS2" s="20"/>
      <c r="AT2" s="19"/>
      <c r="AU2" s="19"/>
      <c r="AV2" s="19"/>
      <c r="AW2" s="19"/>
    </row>
    <row r="3" spans="1:49" ht="15.75" customHeight="1" x14ac:dyDescent="0.35">
      <c r="J3" s="85" t="s">
        <v>590</v>
      </c>
      <c r="K3" s="84"/>
      <c r="R3" s="46" t="s">
        <v>65</v>
      </c>
      <c r="S3" s="1" t="s">
        <v>40</v>
      </c>
      <c r="T3" s="1">
        <v>13305319906</v>
      </c>
      <c r="U3" s="23" t="s">
        <v>41</v>
      </c>
      <c r="V3" s="21"/>
      <c r="W3" s="53" t="s">
        <v>270</v>
      </c>
      <c r="X3" s="37" t="s">
        <v>150</v>
      </c>
      <c r="Y3" s="50" t="s">
        <v>275</v>
      </c>
      <c r="Z3" s="19" t="s">
        <v>165</v>
      </c>
      <c r="AA3" s="19">
        <v>15805316658</v>
      </c>
      <c r="AB3" s="23" t="s">
        <v>304</v>
      </c>
      <c r="AC3" s="19"/>
      <c r="AD3" s="68" t="s">
        <v>270</v>
      </c>
      <c r="AE3" s="37" t="s">
        <v>444</v>
      </c>
      <c r="AF3" s="19" t="s">
        <v>66</v>
      </c>
      <c r="AG3" s="19">
        <v>18905310812</v>
      </c>
      <c r="AH3" s="23" t="s">
        <v>175</v>
      </c>
      <c r="AI3" s="19"/>
      <c r="AJ3" s="64" t="s">
        <v>183</v>
      </c>
      <c r="AK3" s="23"/>
      <c r="AL3" s="23" t="str">
        <f t="shared" ref="AL3:AL44" si="1">AQ3&amp;";"&amp;AH3&amp;";"&amp;AK3</f>
        <v>;zhuln@inspur.com;</v>
      </c>
      <c r="AM3" s="35" t="s">
        <v>183</v>
      </c>
      <c r="AN3" s="35" t="s">
        <v>183</v>
      </c>
      <c r="AO3" s="54" t="s">
        <v>65</v>
      </c>
      <c r="AP3" s="37"/>
      <c r="AQ3" s="23"/>
      <c r="AR3" s="19"/>
      <c r="AS3" s="20"/>
      <c r="AT3" s="37" t="s">
        <v>190</v>
      </c>
      <c r="AU3" s="19" t="s">
        <v>217</v>
      </c>
      <c r="AV3" s="19"/>
      <c r="AW3" s="19"/>
    </row>
    <row r="4" spans="1:49" ht="15.75" customHeight="1" x14ac:dyDescent="0.35">
      <c r="J4" s="85" t="s">
        <v>591</v>
      </c>
      <c r="R4" s="46" t="s">
        <v>67</v>
      </c>
      <c r="S4" s="1" t="s">
        <v>14</v>
      </c>
      <c r="T4" s="1">
        <v>13705316901</v>
      </c>
      <c r="U4" s="23" t="s">
        <v>15</v>
      </c>
      <c r="V4" s="21"/>
      <c r="W4" s="53" t="s">
        <v>445</v>
      </c>
      <c r="X4" s="37" t="s">
        <v>402</v>
      </c>
      <c r="Y4" s="50" t="s">
        <v>403</v>
      </c>
      <c r="Z4" s="19"/>
      <c r="AA4" s="19">
        <v>13332883876</v>
      </c>
      <c r="AB4" s="23" t="s">
        <v>401</v>
      </c>
      <c r="AC4" s="19"/>
      <c r="AD4" s="68" t="s">
        <v>445</v>
      </c>
      <c r="AE4" s="37" t="s">
        <v>446</v>
      </c>
      <c r="AF4" s="19" t="s">
        <v>68</v>
      </c>
      <c r="AG4" s="19">
        <v>13711668336</v>
      </c>
      <c r="AH4" s="23" t="s">
        <v>69</v>
      </c>
      <c r="AI4" s="19"/>
      <c r="AJ4" s="37" t="s">
        <v>191</v>
      </c>
      <c r="AK4" s="23" t="s">
        <v>218</v>
      </c>
      <c r="AL4" s="23" t="str">
        <f t="shared" si="1"/>
        <v>;siyj@inspur.com;xuwenjun@inspur.com</v>
      </c>
      <c r="AM4" s="35" t="s">
        <v>183</v>
      </c>
      <c r="AN4" s="35" t="s">
        <v>183</v>
      </c>
      <c r="AO4" s="54" t="s">
        <v>67</v>
      </c>
      <c r="AP4" s="37"/>
      <c r="AQ4" s="23"/>
      <c r="AR4" s="19"/>
      <c r="AS4" s="20"/>
      <c r="AT4" s="37"/>
      <c r="AU4" s="19"/>
      <c r="AV4" s="19"/>
      <c r="AW4" s="19"/>
    </row>
    <row r="5" spans="1:49" ht="15.75" customHeight="1" x14ac:dyDescent="0.35">
      <c r="J5" s="85" t="s">
        <v>592</v>
      </c>
      <c r="R5" s="46" t="s">
        <v>70</v>
      </c>
      <c r="S5" s="1" t="s">
        <v>46</v>
      </c>
      <c r="T5" s="1">
        <v>18660106708</v>
      </c>
      <c r="U5" s="23" t="s">
        <v>47</v>
      </c>
      <c r="V5" s="21"/>
      <c r="W5" s="53" t="s">
        <v>139</v>
      </c>
      <c r="X5" s="37" t="s">
        <v>189</v>
      </c>
      <c r="Y5" s="50" t="s">
        <v>276</v>
      </c>
      <c r="Z5" s="19" t="s">
        <v>165</v>
      </c>
      <c r="AA5" s="19">
        <v>13770728288</v>
      </c>
      <c r="AB5" s="23" t="s">
        <v>305</v>
      </c>
      <c r="AC5" s="19"/>
      <c r="AD5" s="68" t="s">
        <v>139</v>
      </c>
      <c r="AE5" s="37" t="s">
        <v>448</v>
      </c>
      <c r="AF5" s="65" t="s">
        <v>183</v>
      </c>
      <c r="AG5" s="19">
        <v>13218035620</v>
      </c>
      <c r="AH5" s="23" t="s">
        <v>176</v>
      </c>
      <c r="AI5" s="19"/>
      <c r="AJ5" s="37"/>
      <c r="AK5" s="23" t="s">
        <v>183</v>
      </c>
      <c r="AL5" s="23" t="str">
        <f t="shared" si="1"/>
        <v>;feily@inspur.com;</v>
      </c>
      <c r="AM5" s="35" t="s">
        <v>183</v>
      </c>
      <c r="AN5" s="35" t="s">
        <v>183</v>
      </c>
      <c r="AO5" s="54" t="s">
        <v>139</v>
      </c>
      <c r="AP5" s="37"/>
      <c r="AQ5" s="23"/>
      <c r="AR5" s="19"/>
      <c r="AS5" s="20"/>
      <c r="AT5" s="37"/>
      <c r="AU5" s="19"/>
      <c r="AV5" s="19"/>
      <c r="AW5" s="19"/>
    </row>
    <row r="6" spans="1:49" ht="15.75" customHeight="1" x14ac:dyDescent="0.35">
      <c r="J6" s="85" t="s">
        <v>593</v>
      </c>
      <c r="R6" s="46" t="s">
        <v>71</v>
      </c>
      <c r="S6" s="1" t="s">
        <v>12</v>
      </c>
      <c r="T6" s="1">
        <v>18610772799</v>
      </c>
      <c r="U6" s="23" t="s">
        <v>13</v>
      </c>
      <c r="V6" s="21"/>
      <c r="W6" s="53" t="s">
        <v>138</v>
      </c>
      <c r="X6" s="37" t="s">
        <v>151</v>
      </c>
      <c r="Y6" s="50" t="s">
        <v>289</v>
      </c>
      <c r="Z6" s="19" t="s">
        <v>143</v>
      </c>
      <c r="AA6" s="19">
        <v>18610161077</v>
      </c>
      <c r="AB6" s="23" t="s">
        <v>167</v>
      </c>
      <c r="AC6" s="19"/>
      <c r="AD6" s="68" t="s">
        <v>138</v>
      </c>
      <c r="AE6" s="37" t="s">
        <v>450</v>
      </c>
      <c r="AF6" s="19" t="s">
        <v>66</v>
      </c>
      <c r="AG6" s="19">
        <v>15699733336</v>
      </c>
      <c r="AH6" s="23" t="s">
        <v>516</v>
      </c>
      <c r="AI6" s="19"/>
      <c r="AJ6" s="37"/>
      <c r="AK6" s="23" t="s">
        <v>183</v>
      </c>
      <c r="AL6" s="23" t="str">
        <f t="shared" si="1"/>
        <v>;liu_lin@inspur.com;</v>
      </c>
      <c r="AM6" s="35" t="s">
        <v>183</v>
      </c>
      <c r="AN6" s="35" t="s">
        <v>183</v>
      </c>
      <c r="AO6" s="54" t="s">
        <v>138</v>
      </c>
      <c r="AP6" s="37"/>
      <c r="AQ6" s="23"/>
      <c r="AR6" s="19"/>
      <c r="AS6" s="20"/>
      <c r="AT6" s="37"/>
      <c r="AU6" s="19"/>
      <c r="AV6" s="19"/>
      <c r="AW6" s="19"/>
    </row>
    <row r="7" spans="1:49" ht="15.75" customHeight="1" x14ac:dyDescent="0.35">
      <c r="J7" s="85" t="s">
        <v>594</v>
      </c>
      <c r="R7" s="47" t="s">
        <v>81</v>
      </c>
      <c r="S7" s="1" t="s">
        <v>48</v>
      </c>
      <c r="T7" s="1">
        <v>18605319139</v>
      </c>
      <c r="U7" s="23" t="s">
        <v>49</v>
      </c>
      <c r="V7" s="21"/>
      <c r="W7" s="53" t="s">
        <v>137</v>
      </c>
      <c r="X7" s="37" t="s">
        <v>396</v>
      </c>
      <c r="Y7" s="50" t="s">
        <v>399</v>
      </c>
      <c r="Z7" s="19" t="s">
        <v>398</v>
      </c>
      <c r="AA7" s="19">
        <v>18980746446</v>
      </c>
      <c r="AB7" s="23" t="s">
        <v>397</v>
      </c>
      <c r="AC7" s="19"/>
      <c r="AD7" s="68" t="s">
        <v>137</v>
      </c>
      <c r="AE7" s="37" t="s">
        <v>452</v>
      </c>
      <c r="AF7" s="19" t="s">
        <v>80</v>
      </c>
      <c r="AG7" s="19">
        <v>18782947519</v>
      </c>
      <c r="AH7" s="23" t="s">
        <v>177</v>
      </c>
      <c r="AI7" s="19"/>
      <c r="AJ7" s="37" t="s">
        <v>517</v>
      </c>
      <c r="AK7" s="23" t="s">
        <v>400</v>
      </c>
      <c r="AL7" s="23" t="str">
        <f t="shared" si="1"/>
        <v>;pengmin@inspur.com;caomi@inspur.com;dumenglan@inspur.com</v>
      </c>
      <c r="AM7" s="35" t="s">
        <v>183</v>
      </c>
      <c r="AN7" s="35" t="s">
        <v>183</v>
      </c>
      <c r="AO7" s="54" t="s">
        <v>137</v>
      </c>
      <c r="AP7" s="37"/>
      <c r="AQ7" s="23"/>
      <c r="AR7" s="19"/>
      <c r="AS7" s="20"/>
      <c r="AT7" s="37"/>
      <c r="AU7" s="19"/>
      <c r="AV7" s="19"/>
      <c r="AW7" s="19"/>
    </row>
    <row r="8" spans="1:49" ht="15.75" customHeight="1" x14ac:dyDescent="0.35">
      <c r="J8" s="85" t="s">
        <v>595</v>
      </c>
      <c r="R8" s="46" t="s">
        <v>72</v>
      </c>
      <c r="S8" s="1" t="s">
        <v>58</v>
      </c>
      <c r="T8" s="1">
        <v>18866808217</v>
      </c>
      <c r="U8" s="23" t="s">
        <v>59</v>
      </c>
      <c r="V8" s="21"/>
      <c r="W8" s="53" t="s">
        <v>136</v>
      </c>
      <c r="X8" s="37" t="s">
        <v>152</v>
      </c>
      <c r="Y8" s="50" t="s">
        <v>277</v>
      </c>
      <c r="Z8" s="19"/>
      <c r="AA8" s="19">
        <v>13605319537</v>
      </c>
      <c r="AB8" s="23" t="s">
        <v>168</v>
      </c>
      <c r="AC8" s="19"/>
      <c r="AD8" s="68" t="s">
        <v>136</v>
      </c>
      <c r="AE8" s="37" t="s">
        <v>454</v>
      </c>
      <c r="AF8" s="19" t="s">
        <v>73</v>
      </c>
      <c r="AG8" s="19">
        <v>13343823810</v>
      </c>
      <c r="AH8" s="23" t="s">
        <v>178</v>
      </c>
      <c r="AI8" s="19"/>
      <c r="AJ8" s="37"/>
      <c r="AK8" s="23" t="s">
        <v>183</v>
      </c>
      <c r="AL8" s="23" t="str">
        <f t="shared" si="1"/>
        <v>;suyj@inspur.com;</v>
      </c>
      <c r="AM8" s="35" t="s">
        <v>183</v>
      </c>
      <c r="AN8" s="35" t="s">
        <v>183</v>
      </c>
      <c r="AO8" s="54" t="s">
        <v>136</v>
      </c>
      <c r="AP8" s="37"/>
      <c r="AQ8" s="23"/>
      <c r="AR8" s="19"/>
      <c r="AS8" s="20"/>
      <c r="AT8" s="37"/>
      <c r="AU8" s="19"/>
      <c r="AV8" s="19"/>
      <c r="AW8" s="19"/>
    </row>
    <row r="9" spans="1:49" ht="15.75" customHeight="1" x14ac:dyDescent="0.35">
      <c r="R9" s="46" t="s">
        <v>75</v>
      </c>
      <c r="S9" s="1" t="s">
        <v>10</v>
      </c>
      <c r="T9" s="1">
        <v>13349090001</v>
      </c>
      <c r="U9" s="23" t="s">
        <v>11</v>
      </c>
      <c r="V9" s="21"/>
      <c r="W9" s="53" t="s">
        <v>135</v>
      </c>
      <c r="X9" s="37" t="s">
        <v>423</v>
      </c>
      <c r="Y9" s="50" t="s">
        <v>424</v>
      </c>
      <c r="Z9" s="19"/>
      <c r="AA9" s="19">
        <v>18956068989</v>
      </c>
      <c r="AB9" s="23" t="s">
        <v>425</v>
      </c>
      <c r="AC9" s="19"/>
      <c r="AD9" s="68" t="s">
        <v>135</v>
      </c>
      <c r="AE9" s="37" t="s">
        <v>457</v>
      </c>
      <c r="AF9" s="19" t="s">
        <v>66</v>
      </c>
      <c r="AG9" s="19">
        <v>15656054271</v>
      </c>
      <c r="AH9" s="23" t="s">
        <v>76</v>
      </c>
      <c r="AI9" s="19"/>
      <c r="AJ9" s="37"/>
      <c r="AK9" s="23" t="s">
        <v>183</v>
      </c>
      <c r="AL9" s="23" t="str">
        <f t="shared" si="1"/>
        <v>;hongyuan@inspur.com;</v>
      </c>
      <c r="AM9" s="35" t="s">
        <v>183</v>
      </c>
      <c r="AN9" s="35" t="s">
        <v>183</v>
      </c>
      <c r="AO9" s="54" t="s">
        <v>135</v>
      </c>
      <c r="AP9" s="37"/>
      <c r="AQ9" s="23"/>
      <c r="AR9" s="19"/>
      <c r="AS9" s="20"/>
      <c r="AT9" s="37"/>
      <c r="AU9" s="19"/>
      <c r="AV9" s="19"/>
      <c r="AW9" s="19"/>
    </row>
    <row r="10" spans="1:49" ht="15.75" customHeight="1" x14ac:dyDescent="0.35">
      <c r="R10" s="46" t="s">
        <v>74</v>
      </c>
      <c r="S10" s="1" t="s">
        <v>26</v>
      </c>
      <c r="T10" s="1">
        <v>13387554488</v>
      </c>
      <c r="U10" s="23" t="s">
        <v>27</v>
      </c>
      <c r="V10" s="21"/>
      <c r="W10" s="53" t="s">
        <v>134</v>
      </c>
      <c r="X10" s="37" t="s">
        <v>153</v>
      </c>
      <c r="Y10" s="50" t="s">
        <v>278</v>
      </c>
      <c r="Z10" s="19"/>
      <c r="AA10" s="19">
        <v>18627079899</v>
      </c>
      <c r="AB10" s="23" t="s">
        <v>306</v>
      </c>
      <c r="AC10" s="19"/>
      <c r="AD10" s="68" t="s">
        <v>134</v>
      </c>
      <c r="AE10" s="37" t="s">
        <v>459</v>
      </c>
      <c r="AF10" s="19" t="s">
        <v>73</v>
      </c>
      <c r="AG10" s="19">
        <v>18607145067</v>
      </c>
      <c r="AH10" s="23" t="s">
        <v>179</v>
      </c>
      <c r="AI10" s="19"/>
      <c r="AJ10" s="37" t="s">
        <v>518</v>
      </c>
      <c r="AK10" s="23" t="s">
        <v>219</v>
      </c>
      <c r="AL10" s="23" t="str">
        <f t="shared" si="1"/>
        <v>;liuff@inspur.com;liaoc@inspur.com</v>
      </c>
      <c r="AM10" s="35" t="s">
        <v>183</v>
      </c>
      <c r="AN10" s="35" t="s">
        <v>183</v>
      </c>
      <c r="AO10" s="54" t="s">
        <v>134</v>
      </c>
      <c r="AP10" s="37"/>
      <c r="AQ10" s="23"/>
      <c r="AR10" s="19"/>
      <c r="AS10" s="20"/>
      <c r="AT10" s="37"/>
      <c r="AU10" s="19"/>
      <c r="AV10" s="19"/>
      <c r="AW10" s="19"/>
    </row>
    <row r="11" spans="1:49" ht="15.75" customHeight="1" x14ac:dyDescent="0.35">
      <c r="R11" s="46" t="s">
        <v>87</v>
      </c>
      <c r="S11" s="1" t="s">
        <v>569</v>
      </c>
      <c r="T11" s="1">
        <v>18621661980</v>
      </c>
      <c r="U11" s="4" t="s">
        <v>568</v>
      </c>
      <c r="V11" s="21"/>
      <c r="W11" s="53" t="s">
        <v>133</v>
      </c>
      <c r="X11" s="37" t="s">
        <v>405</v>
      </c>
      <c r="Y11" s="50" t="s">
        <v>406</v>
      </c>
      <c r="Z11" s="19"/>
      <c r="AA11" s="19">
        <v>13801950374</v>
      </c>
      <c r="AB11" s="23" t="s">
        <v>404</v>
      </c>
      <c r="AC11" s="19"/>
      <c r="AD11" s="68" t="s">
        <v>133</v>
      </c>
      <c r="AE11" s="37" t="s">
        <v>461</v>
      </c>
      <c r="AF11" s="19" t="s">
        <v>66</v>
      </c>
      <c r="AG11" s="19">
        <v>13120582588</v>
      </c>
      <c r="AH11" s="23" t="s">
        <v>88</v>
      </c>
      <c r="AI11" s="19"/>
      <c r="AJ11" s="37"/>
      <c r="AK11" s="23" t="s">
        <v>183</v>
      </c>
      <c r="AL11" s="23" t="str">
        <f t="shared" si="1"/>
        <v>;zhangyingchao@inspur.com;</v>
      </c>
      <c r="AM11" s="35" t="s">
        <v>183</v>
      </c>
      <c r="AN11" s="35" t="s">
        <v>183</v>
      </c>
      <c r="AO11" s="54" t="s">
        <v>133</v>
      </c>
      <c r="AP11" s="37"/>
      <c r="AQ11" s="23"/>
      <c r="AR11" s="19"/>
      <c r="AS11" s="20"/>
      <c r="AT11" s="37"/>
      <c r="AU11" s="19"/>
      <c r="AV11" s="19"/>
      <c r="AW11" s="19"/>
    </row>
    <row r="12" spans="1:49" ht="15.75" customHeight="1" x14ac:dyDescent="0.35">
      <c r="R12" s="46" t="s">
        <v>79</v>
      </c>
      <c r="S12" s="1" t="s">
        <v>42</v>
      </c>
      <c r="T12" s="1">
        <v>13853199927</v>
      </c>
      <c r="U12" s="23" t="s">
        <v>43</v>
      </c>
      <c r="V12" s="21"/>
      <c r="W12" s="53" t="s">
        <v>132</v>
      </c>
      <c r="X12" s="37" t="s">
        <v>144</v>
      </c>
      <c r="Y12" s="50" t="s">
        <v>279</v>
      </c>
      <c r="Z12" s="19" t="s">
        <v>165</v>
      </c>
      <c r="AA12" s="19">
        <v>18660177898</v>
      </c>
      <c r="AB12" s="23" t="s">
        <v>145</v>
      </c>
      <c r="AC12" s="19"/>
      <c r="AD12" s="68" t="s">
        <v>132</v>
      </c>
      <c r="AE12" s="37" t="s">
        <v>463</v>
      </c>
      <c r="AF12" s="19" t="s">
        <v>80</v>
      </c>
      <c r="AG12" s="19">
        <v>13403450091</v>
      </c>
      <c r="AH12" s="23" t="s">
        <v>180</v>
      </c>
      <c r="AI12" s="19"/>
      <c r="AJ12" s="37" t="s">
        <v>519</v>
      </c>
      <c r="AK12" s="23" t="s">
        <v>220</v>
      </c>
      <c r="AL12" s="23" t="str">
        <f t="shared" si="1"/>
        <v>;guohui@inspur.com;wangmx@inspur.com</v>
      </c>
      <c r="AM12" s="35" t="s">
        <v>183</v>
      </c>
      <c r="AN12" s="35" t="s">
        <v>183</v>
      </c>
      <c r="AO12" s="54" t="s">
        <v>132</v>
      </c>
      <c r="AP12" s="37"/>
      <c r="AQ12" s="23"/>
      <c r="AR12" s="19"/>
      <c r="AS12" s="20"/>
      <c r="AT12" s="37"/>
      <c r="AU12" s="19"/>
      <c r="AV12" s="19"/>
      <c r="AW12" s="19"/>
    </row>
    <row r="13" spans="1:49" ht="15.75" customHeight="1" x14ac:dyDescent="0.35">
      <c r="R13" s="46" t="s">
        <v>83</v>
      </c>
      <c r="S13" s="1" t="s">
        <v>22</v>
      </c>
      <c r="T13" s="1">
        <v>18905311600</v>
      </c>
      <c r="U13" s="23" t="s">
        <v>23</v>
      </c>
      <c r="V13" s="21"/>
      <c r="W13" s="53" t="s">
        <v>131</v>
      </c>
      <c r="X13" s="37" t="s">
        <v>324</v>
      </c>
      <c r="Y13" s="50" t="s">
        <v>320</v>
      </c>
      <c r="Z13" s="19" t="s">
        <v>345</v>
      </c>
      <c r="AA13" s="19">
        <v>15081813555</v>
      </c>
      <c r="AB13" s="23" t="s">
        <v>323</v>
      </c>
      <c r="AC13" s="19" t="s">
        <v>256</v>
      </c>
      <c r="AD13" s="68" t="s">
        <v>464</v>
      </c>
      <c r="AE13" s="37" t="s">
        <v>465</v>
      </c>
      <c r="AF13" s="19" t="s">
        <v>66</v>
      </c>
      <c r="AG13" s="19">
        <v>13931890995</v>
      </c>
      <c r="AH13" s="23" t="s">
        <v>181</v>
      </c>
      <c r="AI13" s="19"/>
      <c r="AJ13" s="37"/>
      <c r="AK13" s="23" t="s">
        <v>183</v>
      </c>
      <c r="AL13" s="23" t="str">
        <f t="shared" si="1"/>
        <v>ma-chao@inspur.com;YANG_LI@INSPUR.COM;</v>
      </c>
      <c r="AM13" s="35" t="s">
        <v>183</v>
      </c>
      <c r="AN13" s="35" t="s">
        <v>183</v>
      </c>
      <c r="AO13" s="54" t="s">
        <v>131</v>
      </c>
      <c r="AP13" s="37" t="s">
        <v>321</v>
      </c>
      <c r="AQ13" s="23" t="s">
        <v>169</v>
      </c>
      <c r="AR13" s="19" t="s">
        <v>322</v>
      </c>
      <c r="AS13" s="20">
        <v>15165106999</v>
      </c>
      <c r="AT13" s="37"/>
      <c r="AU13" s="19"/>
      <c r="AV13" s="19"/>
      <c r="AW13" s="19"/>
    </row>
    <row r="14" spans="1:49" ht="15.75" customHeight="1" x14ac:dyDescent="0.35">
      <c r="R14" s="46" t="s">
        <v>85</v>
      </c>
      <c r="S14" s="1" t="s">
        <v>44</v>
      </c>
      <c r="T14" s="1">
        <v>18601239369</v>
      </c>
      <c r="U14" s="23" t="s">
        <v>45</v>
      </c>
      <c r="V14" s="21"/>
      <c r="W14" s="53" t="s">
        <v>130</v>
      </c>
      <c r="X14" s="37" t="s">
        <v>146</v>
      </c>
      <c r="Y14" s="50" t="s">
        <v>280</v>
      </c>
      <c r="Z14" s="19" t="s">
        <v>143</v>
      </c>
      <c r="AA14" s="19">
        <v>18629028288</v>
      </c>
      <c r="AB14" s="23" t="s">
        <v>170</v>
      </c>
      <c r="AC14" s="19"/>
      <c r="AD14" s="68" t="s">
        <v>130</v>
      </c>
      <c r="AE14" s="37" t="s">
        <v>467</v>
      </c>
      <c r="AF14" s="19" t="s">
        <v>66</v>
      </c>
      <c r="AG14" s="19">
        <v>13709128742</v>
      </c>
      <c r="AH14" s="23" t="s">
        <v>86</v>
      </c>
      <c r="AI14" s="19"/>
      <c r="AJ14" s="37"/>
      <c r="AK14" s="23" t="s">
        <v>183</v>
      </c>
      <c r="AL14" s="23" t="str">
        <f t="shared" si="1"/>
        <v>;guojiao@inspur.com;</v>
      </c>
      <c r="AM14" s="35" t="s">
        <v>183</v>
      </c>
      <c r="AN14" s="35" t="s">
        <v>183</v>
      </c>
      <c r="AO14" s="54" t="s">
        <v>130</v>
      </c>
      <c r="AP14" s="37"/>
      <c r="AQ14" s="23"/>
      <c r="AR14" s="19"/>
      <c r="AS14" s="20"/>
      <c r="AT14" s="37"/>
      <c r="AU14" s="19"/>
      <c r="AV14" s="19"/>
      <c r="AW14" s="19"/>
    </row>
    <row r="15" spans="1:49" ht="15.75" customHeight="1" x14ac:dyDescent="0.35">
      <c r="R15" s="46" t="s">
        <v>84</v>
      </c>
      <c r="S15" s="1" t="s">
        <v>24</v>
      </c>
      <c r="T15" s="1">
        <v>13384517868</v>
      </c>
      <c r="U15" s="23" t="s">
        <v>25</v>
      </c>
      <c r="V15" s="21"/>
      <c r="W15" s="53" t="s">
        <v>129</v>
      </c>
      <c r="X15" s="37" t="s">
        <v>346</v>
      </c>
      <c r="Y15" s="50" t="s">
        <v>303</v>
      </c>
      <c r="Z15" s="19" t="s">
        <v>302</v>
      </c>
      <c r="AA15" s="19">
        <v>13940374567</v>
      </c>
      <c r="AB15" s="23" t="s">
        <v>307</v>
      </c>
      <c r="AC15" s="19"/>
      <c r="AD15" s="68" t="s">
        <v>129</v>
      </c>
      <c r="AE15" s="37" t="s">
        <v>469</v>
      </c>
      <c r="AF15" s="19" t="s">
        <v>66</v>
      </c>
      <c r="AG15" s="19"/>
      <c r="AH15" s="23" t="s">
        <v>342</v>
      </c>
      <c r="AI15" s="19"/>
      <c r="AJ15" s="37"/>
      <c r="AK15" s="23" t="s">
        <v>183</v>
      </c>
      <c r="AL15" s="23" t="str">
        <f t="shared" si="1"/>
        <v>baoqh@inspur.com;gaozhenqi@inspur.com;</v>
      </c>
      <c r="AM15" s="35" t="s">
        <v>183</v>
      </c>
      <c r="AN15" s="35" t="s">
        <v>183</v>
      </c>
      <c r="AO15" s="54" t="s">
        <v>129</v>
      </c>
      <c r="AP15" s="37" t="s">
        <v>349</v>
      </c>
      <c r="AQ15" s="23" t="s">
        <v>348</v>
      </c>
      <c r="AR15" s="19" t="s">
        <v>350</v>
      </c>
      <c r="AS15" s="20"/>
      <c r="AT15" s="37"/>
      <c r="AU15" s="19"/>
      <c r="AV15" s="19"/>
      <c r="AW15" s="19"/>
    </row>
    <row r="16" spans="1:49" ht="15.75" customHeight="1" x14ac:dyDescent="0.35">
      <c r="R16" s="46" t="s">
        <v>96</v>
      </c>
      <c r="S16" s="1" t="s">
        <v>28</v>
      </c>
      <c r="T16" s="1">
        <v>13974880009</v>
      </c>
      <c r="U16" s="23" t="s">
        <v>29</v>
      </c>
      <c r="V16" s="21"/>
      <c r="W16" s="53" t="s">
        <v>128</v>
      </c>
      <c r="X16" s="37" t="s">
        <v>347</v>
      </c>
      <c r="Y16" s="50" t="s">
        <v>343</v>
      </c>
      <c r="Z16" s="19" t="s">
        <v>345</v>
      </c>
      <c r="AA16" s="19">
        <v>13574889880</v>
      </c>
      <c r="AB16" s="23" t="s">
        <v>344</v>
      </c>
      <c r="AC16" s="19"/>
      <c r="AD16" s="68" t="s">
        <v>128</v>
      </c>
      <c r="AE16" s="37" t="s">
        <v>471</v>
      </c>
      <c r="AF16" s="19" t="s">
        <v>68</v>
      </c>
      <c r="AG16" s="19">
        <v>13319531009</v>
      </c>
      <c r="AH16" s="23" t="s">
        <v>97</v>
      </c>
      <c r="AI16" s="19"/>
      <c r="AJ16" s="37"/>
      <c r="AK16" s="23" t="s">
        <v>183</v>
      </c>
      <c r="AL16" s="23" t="str">
        <f t="shared" si="1"/>
        <v>;huyj@inspur.com;</v>
      </c>
      <c r="AM16" s="35" t="s">
        <v>183</v>
      </c>
      <c r="AN16" s="35" t="s">
        <v>183</v>
      </c>
      <c r="AO16" s="54" t="s">
        <v>128</v>
      </c>
      <c r="AP16" s="37"/>
      <c r="AQ16" s="23"/>
      <c r="AR16" s="19"/>
      <c r="AS16" s="20"/>
      <c r="AT16" s="37"/>
      <c r="AU16" s="19"/>
      <c r="AV16" s="19"/>
      <c r="AW16" s="19"/>
    </row>
    <row r="17" spans="18:49" ht="15.75" customHeight="1" x14ac:dyDescent="0.35">
      <c r="R17" s="46" t="s">
        <v>77</v>
      </c>
      <c r="S17" s="1" t="s">
        <v>351</v>
      </c>
      <c r="T17" s="1"/>
      <c r="U17" s="23" t="s">
        <v>352</v>
      </c>
      <c r="V17" s="21"/>
      <c r="W17" s="53" t="s">
        <v>127</v>
      </c>
      <c r="X17" s="37" t="s">
        <v>297</v>
      </c>
      <c r="Y17" s="50" t="s">
        <v>298</v>
      </c>
      <c r="Z17" s="19"/>
      <c r="AA17" s="19">
        <v>13893365226</v>
      </c>
      <c r="AB17" s="23" t="s">
        <v>296</v>
      </c>
      <c r="AC17" s="19"/>
      <c r="AD17" s="68" t="s">
        <v>472</v>
      </c>
      <c r="AE17" s="37" t="s">
        <v>473</v>
      </c>
      <c r="AF17" s="19" t="s">
        <v>73</v>
      </c>
      <c r="AG17" s="19">
        <v>13893678177</v>
      </c>
      <c r="AH17" s="23" t="s">
        <v>78</v>
      </c>
      <c r="AI17" s="19"/>
      <c r="AJ17" s="37" t="s">
        <v>520</v>
      </c>
      <c r="AK17" s="23" t="s">
        <v>221</v>
      </c>
      <c r="AL17" s="23" t="str">
        <f t="shared" si="1"/>
        <v>;zhuyl@inspur.com;wangyanling@inspur.com</v>
      </c>
      <c r="AM17" s="35" t="s">
        <v>183</v>
      </c>
      <c r="AN17" s="35" t="s">
        <v>183</v>
      </c>
      <c r="AO17" s="54" t="s">
        <v>127</v>
      </c>
      <c r="AP17" s="37"/>
      <c r="AQ17" s="23"/>
      <c r="AR17" s="19"/>
      <c r="AS17" s="20"/>
      <c r="AT17" s="37"/>
      <c r="AU17" s="19"/>
      <c r="AV17" s="19"/>
      <c r="AW17" s="19"/>
    </row>
    <row r="18" spans="18:49" ht="15.75" customHeight="1" x14ac:dyDescent="0.35">
      <c r="R18" s="46" t="s">
        <v>82</v>
      </c>
      <c r="S18" s="1" t="s">
        <v>60</v>
      </c>
      <c r="T18" s="1">
        <v>13911059500</v>
      </c>
      <c r="U18" s="23" t="s">
        <v>61</v>
      </c>
      <c r="V18" s="21"/>
      <c r="W18" s="53" t="s">
        <v>126</v>
      </c>
      <c r="X18" s="37" t="s">
        <v>358</v>
      </c>
      <c r="Y18" s="50" t="s">
        <v>359</v>
      </c>
      <c r="Z18" s="19"/>
      <c r="AA18" s="19">
        <v>13307913066</v>
      </c>
      <c r="AB18" s="23" t="s">
        <v>360</v>
      </c>
      <c r="AC18" s="19"/>
      <c r="AD18" s="68" t="s">
        <v>126</v>
      </c>
      <c r="AE18" s="37" t="s">
        <v>475</v>
      </c>
      <c r="AF18" s="19" t="s">
        <v>66</v>
      </c>
      <c r="AG18" s="19">
        <v>18679171137</v>
      </c>
      <c r="AH18" s="23" t="s">
        <v>182</v>
      </c>
      <c r="AI18" s="19"/>
      <c r="AJ18" s="37"/>
      <c r="AK18" s="23" t="s">
        <v>183</v>
      </c>
      <c r="AL18" s="23" t="str">
        <f t="shared" si="1"/>
        <v>;suting@inspur.com;</v>
      </c>
      <c r="AM18" s="35" t="s">
        <v>183</v>
      </c>
      <c r="AN18" s="35" t="s">
        <v>183</v>
      </c>
      <c r="AO18" s="54" t="s">
        <v>126</v>
      </c>
      <c r="AP18" s="37"/>
      <c r="AQ18" s="23"/>
      <c r="AR18" s="19"/>
      <c r="AS18" s="20"/>
      <c r="AT18" s="37"/>
      <c r="AU18" s="19"/>
      <c r="AV18" s="19"/>
      <c r="AW18" s="19"/>
    </row>
    <row r="19" spans="18:49" ht="15.75" customHeight="1" x14ac:dyDescent="0.35">
      <c r="R19" s="48" t="s">
        <v>115</v>
      </c>
      <c r="S19" s="1" t="s">
        <v>417</v>
      </c>
      <c r="T19" s="1"/>
      <c r="U19" s="23" t="s">
        <v>418</v>
      </c>
      <c r="V19" s="21"/>
      <c r="W19" s="53" t="s">
        <v>116</v>
      </c>
      <c r="X19" s="37" t="s">
        <v>330</v>
      </c>
      <c r="Y19" s="50" t="s">
        <v>332</v>
      </c>
      <c r="Z19" s="19" t="s">
        <v>331</v>
      </c>
      <c r="AA19" s="19">
        <v>18502281735</v>
      </c>
      <c r="AB19" s="23" t="s">
        <v>361</v>
      </c>
      <c r="AC19" s="19"/>
      <c r="AD19" s="68" t="s">
        <v>116</v>
      </c>
      <c r="AE19" s="37" t="s">
        <v>477</v>
      </c>
      <c r="AF19" s="19" t="s">
        <v>160</v>
      </c>
      <c r="AG19" s="19" t="s">
        <v>161</v>
      </c>
      <c r="AH19" s="23" t="s">
        <v>162</v>
      </c>
      <c r="AI19" s="19"/>
      <c r="AJ19" s="37" t="s">
        <v>521</v>
      </c>
      <c r="AK19" s="23" t="s">
        <v>222</v>
      </c>
      <c r="AL19" s="23" t="str">
        <f t="shared" si="1"/>
        <v>;panjie@inspur.com;wangmiaom@inspur.com;wangmiaom@inspur.com</v>
      </c>
      <c r="AM19" s="35" t="s">
        <v>183</v>
      </c>
      <c r="AN19" s="35" t="s">
        <v>183</v>
      </c>
      <c r="AO19" s="54" t="s">
        <v>116</v>
      </c>
      <c r="AP19" s="37"/>
      <c r="AQ19" s="23"/>
      <c r="AR19" s="19"/>
      <c r="AS19" s="20"/>
      <c r="AT19" s="37"/>
      <c r="AU19" s="19"/>
      <c r="AV19" s="19"/>
      <c r="AW19" s="19"/>
    </row>
    <row r="20" spans="18:49" ht="15.75" customHeight="1" x14ac:dyDescent="0.35">
      <c r="R20" s="46" t="s">
        <v>205</v>
      </c>
      <c r="S20" s="1" t="s">
        <v>36</v>
      </c>
      <c r="T20" s="1">
        <v>18600280588</v>
      </c>
      <c r="U20" s="23" t="s">
        <v>37</v>
      </c>
      <c r="V20" s="21"/>
      <c r="W20" s="53" t="s">
        <v>117</v>
      </c>
      <c r="X20" s="37" t="s">
        <v>429</v>
      </c>
      <c r="Y20" s="50" t="s">
        <v>430</v>
      </c>
      <c r="Z20" s="19"/>
      <c r="AA20" s="19">
        <v>18654528866</v>
      </c>
      <c r="AB20" s="23" t="s">
        <v>431</v>
      </c>
      <c r="AC20" s="19"/>
      <c r="AD20" s="68" t="s">
        <v>117</v>
      </c>
      <c r="AE20" s="37" t="s">
        <v>479</v>
      </c>
      <c r="AF20" s="19" t="s">
        <v>66</v>
      </c>
      <c r="AG20" s="19">
        <v>15849339290</v>
      </c>
      <c r="AH20" s="23" t="s">
        <v>91</v>
      </c>
      <c r="AI20" s="19"/>
      <c r="AJ20" s="37"/>
      <c r="AK20" s="23" t="s">
        <v>183</v>
      </c>
      <c r="AL20" s="23" t="str">
        <f t="shared" si="1"/>
        <v>chenweinm@inspur.com;dingjiao@inspur.com;</v>
      </c>
      <c r="AM20" s="35" t="s">
        <v>183</v>
      </c>
      <c r="AN20" s="35" t="s">
        <v>183</v>
      </c>
      <c r="AO20" s="54" t="s">
        <v>117</v>
      </c>
      <c r="AP20" s="37" t="s">
        <v>333</v>
      </c>
      <c r="AQ20" s="23" t="s">
        <v>187</v>
      </c>
      <c r="AR20" s="19"/>
      <c r="AS20" s="20">
        <v>13015020567</v>
      </c>
      <c r="AT20" s="37"/>
      <c r="AU20" s="19"/>
      <c r="AV20" s="19"/>
      <c r="AW20" s="19"/>
    </row>
    <row r="21" spans="18:49" ht="15.75" customHeight="1" x14ac:dyDescent="0.35">
      <c r="R21" s="48" t="s">
        <v>94</v>
      </c>
      <c r="S21" s="1" t="s">
        <v>34</v>
      </c>
      <c r="T21" s="1">
        <v>13335153718</v>
      </c>
      <c r="U21" s="23" t="s">
        <v>35</v>
      </c>
      <c r="V21" s="21"/>
      <c r="W21" s="53" t="s">
        <v>125</v>
      </c>
      <c r="X21" s="37" t="s">
        <v>154</v>
      </c>
      <c r="Y21" s="50" t="s">
        <v>282</v>
      </c>
      <c r="Z21" s="19" t="s">
        <v>165</v>
      </c>
      <c r="AA21" s="19">
        <v>13940536289</v>
      </c>
      <c r="AB21" s="23" t="s">
        <v>334</v>
      </c>
      <c r="AC21" s="19"/>
      <c r="AD21" s="68" t="s">
        <v>125</v>
      </c>
      <c r="AE21" s="37" t="s">
        <v>481</v>
      </c>
      <c r="AF21" s="19" t="s">
        <v>66</v>
      </c>
      <c r="AG21" s="19">
        <v>18640244788</v>
      </c>
      <c r="AH21" s="23" t="s">
        <v>95</v>
      </c>
      <c r="AI21" s="19"/>
      <c r="AJ21" s="37"/>
      <c r="AK21" s="23" t="s">
        <v>183</v>
      </c>
      <c r="AL21" s="23" t="str">
        <f t="shared" si="1"/>
        <v>;dongjh@inspur.com;</v>
      </c>
      <c r="AM21" s="35" t="s">
        <v>183</v>
      </c>
      <c r="AN21" s="35" t="s">
        <v>183</v>
      </c>
      <c r="AO21" s="54" t="s">
        <v>125</v>
      </c>
      <c r="AP21" s="37"/>
      <c r="AQ21" s="23"/>
      <c r="AR21" s="19"/>
      <c r="AS21" s="20"/>
      <c r="AT21" s="37"/>
      <c r="AU21" s="19"/>
      <c r="AV21" s="19"/>
      <c r="AW21" s="19"/>
    </row>
    <row r="22" spans="18:49" ht="15.75" customHeight="1" x14ac:dyDescent="0.35">
      <c r="R22" s="48" t="s">
        <v>100</v>
      </c>
      <c r="S22" s="1" t="s">
        <v>56</v>
      </c>
      <c r="T22" s="1">
        <v>15806679158</v>
      </c>
      <c r="U22" s="23" t="s">
        <v>57</v>
      </c>
      <c r="V22" s="21"/>
      <c r="W22" s="53" t="s">
        <v>124</v>
      </c>
      <c r="X22" s="37" t="s">
        <v>362</v>
      </c>
      <c r="Y22" s="50" t="s">
        <v>363</v>
      </c>
      <c r="Z22" s="19" t="s">
        <v>165</v>
      </c>
      <c r="AA22" s="19">
        <v>13850101878</v>
      </c>
      <c r="AB22" s="23" t="s">
        <v>364</v>
      </c>
      <c r="AC22" s="19"/>
      <c r="AD22" s="68" t="s">
        <v>124</v>
      </c>
      <c r="AE22" s="37" t="s">
        <v>483</v>
      </c>
      <c r="AF22" s="65" t="s">
        <v>183</v>
      </c>
      <c r="AG22" s="19"/>
      <c r="AH22" s="23" t="s">
        <v>329</v>
      </c>
      <c r="AI22" s="19"/>
      <c r="AJ22" s="37" t="s">
        <v>209</v>
      </c>
      <c r="AK22" s="23" t="s">
        <v>223</v>
      </c>
      <c r="AL22" s="23" t="str">
        <f>AQ22&amp;";"&amp;AH22&amp;";"&amp;AK22</f>
        <v>tanhb@inspur.com;wengxl@inspur.com;zhanglinfj@inspur.com</v>
      </c>
      <c r="AM22" s="35" t="s">
        <v>183</v>
      </c>
      <c r="AN22" s="35" t="s">
        <v>183</v>
      </c>
      <c r="AO22" s="54" t="s">
        <v>124</v>
      </c>
      <c r="AP22" s="37" t="s">
        <v>261</v>
      </c>
      <c r="AQ22" s="23" t="s">
        <v>266</v>
      </c>
      <c r="AR22" s="19" t="s">
        <v>263</v>
      </c>
      <c r="AS22" s="20"/>
      <c r="AT22" s="37" t="s">
        <v>328</v>
      </c>
      <c r="AU22" s="19" t="s">
        <v>66</v>
      </c>
      <c r="AV22" s="19">
        <v>15059157761</v>
      </c>
      <c r="AW22" s="19" t="s">
        <v>101</v>
      </c>
    </row>
    <row r="23" spans="18:49" ht="15.75" customHeight="1" x14ac:dyDescent="0.35">
      <c r="R23" s="46" t="s">
        <v>89</v>
      </c>
      <c r="S23" s="1" t="s">
        <v>50</v>
      </c>
      <c r="T23" s="1">
        <v>13999985001</v>
      </c>
      <c r="U23" s="23" t="s">
        <v>51</v>
      </c>
      <c r="V23" s="21"/>
      <c r="W23" s="53" t="s">
        <v>123</v>
      </c>
      <c r="X23" s="37" t="s">
        <v>407</v>
      </c>
      <c r="Y23" s="50" t="s">
        <v>408</v>
      </c>
      <c r="Z23" s="19"/>
      <c r="AA23" s="19">
        <v>18699020035</v>
      </c>
      <c r="AB23" s="23" t="s">
        <v>409</v>
      </c>
      <c r="AC23" s="19"/>
      <c r="AD23" s="68" t="s">
        <v>123</v>
      </c>
      <c r="AE23" s="37" t="s">
        <v>485</v>
      </c>
      <c r="AF23" s="19" t="s">
        <v>66</v>
      </c>
      <c r="AG23" s="19">
        <v>13659956575</v>
      </c>
      <c r="AH23" s="23" t="s">
        <v>90</v>
      </c>
      <c r="AI23" s="19"/>
      <c r="AJ23" s="37"/>
      <c r="AK23" s="23" t="s">
        <v>183</v>
      </c>
      <c r="AL23" s="23" t="str">
        <f t="shared" si="1"/>
        <v>;chengss@inspur.com;</v>
      </c>
      <c r="AM23" s="35" t="s">
        <v>183</v>
      </c>
      <c r="AN23" s="35" t="s">
        <v>183</v>
      </c>
      <c r="AO23" s="54" t="s">
        <v>123</v>
      </c>
      <c r="AP23" s="37"/>
      <c r="AQ23" s="23"/>
      <c r="AR23" s="19"/>
      <c r="AS23" s="20"/>
      <c r="AT23" s="37"/>
      <c r="AU23" s="19"/>
      <c r="AV23" s="19"/>
      <c r="AW23" s="19"/>
    </row>
    <row r="24" spans="18:49" ht="15.75" customHeight="1" x14ac:dyDescent="0.35">
      <c r="R24" s="46" t="s">
        <v>105</v>
      </c>
      <c r="S24" s="1" t="s">
        <v>16</v>
      </c>
      <c r="T24" s="1">
        <v>13759533658</v>
      </c>
      <c r="U24" s="23" t="s">
        <v>17</v>
      </c>
      <c r="V24" s="21"/>
      <c r="W24" s="53" t="s">
        <v>122</v>
      </c>
      <c r="X24" s="37" t="s">
        <v>147</v>
      </c>
      <c r="Y24" s="50" t="s">
        <v>283</v>
      </c>
      <c r="Z24" s="19" t="s">
        <v>143</v>
      </c>
      <c r="AA24" s="19">
        <v>13607710531</v>
      </c>
      <c r="AB24" s="23" t="s">
        <v>171</v>
      </c>
      <c r="AC24" s="19"/>
      <c r="AD24" s="68" t="s">
        <v>122</v>
      </c>
      <c r="AE24" s="37" t="s">
        <v>487</v>
      </c>
      <c r="AF24" s="19" t="s">
        <v>73</v>
      </c>
      <c r="AG24" s="19">
        <v>15977759932</v>
      </c>
      <c r="AH24" s="23" t="s">
        <v>106</v>
      </c>
      <c r="AI24" s="19"/>
      <c r="AJ24" s="37"/>
      <c r="AK24" s="23" t="s">
        <v>183</v>
      </c>
      <c r="AL24" s="23" t="str">
        <f t="shared" si="1"/>
        <v>;chenshl@inspur.com;</v>
      </c>
      <c r="AM24" s="35" t="s">
        <v>183</v>
      </c>
      <c r="AN24" s="35" t="s">
        <v>183</v>
      </c>
      <c r="AO24" s="54" t="s">
        <v>122</v>
      </c>
      <c r="AP24" s="37"/>
      <c r="AQ24" s="23"/>
      <c r="AR24" s="19"/>
      <c r="AS24" s="20"/>
      <c r="AT24" s="37"/>
      <c r="AU24" s="19"/>
      <c r="AV24" s="19"/>
      <c r="AW24" s="19"/>
    </row>
    <row r="25" spans="18:49" ht="15.75" customHeight="1" x14ac:dyDescent="0.35">
      <c r="R25" s="46" t="s">
        <v>92</v>
      </c>
      <c r="S25" s="1" t="s">
        <v>415</v>
      </c>
      <c r="T25" s="1"/>
      <c r="U25" s="23" t="s">
        <v>416</v>
      </c>
      <c r="V25" s="21"/>
      <c r="W25" s="53" t="s">
        <v>121</v>
      </c>
      <c r="X25" s="73" t="s">
        <v>528</v>
      </c>
      <c r="Y25" s="50" t="s">
        <v>527</v>
      </c>
      <c r="Z25" s="19" t="s">
        <v>165</v>
      </c>
      <c r="AA25" s="19">
        <v>13389603995</v>
      </c>
      <c r="AB25" s="23" t="s">
        <v>526</v>
      </c>
      <c r="AC25" s="19"/>
      <c r="AD25" s="68" t="s">
        <v>121</v>
      </c>
      <c r="AE25" s="37" t="s">
        <v>489</v>
      </c>
      <c r="AF25" s="19" t="s">
        <v>68</v>
      </c>
      <c r="AG25" s="19">
        <v>15923343988</v>
      </c>
      <c r="AH25" s="23" t="s">
        <v>93</v>
      </c>
      <c r="AI25" s="19"/>
      <c r="AJ25" s="37" t="s">
        <v>523</v>
      </c>
      <c r="AK25" s="23" t="s">
        <v>313</v>
      </c>
      <c r="AL25" s="23" t="str">
        <f t="shared" si="1"/>
        <v>liumengfang@inspur.com;haoling@inspur.com;yumh@inspur.com</v>
      </c>
      <c r="AM25" s="35" t="s">
        <v>183</v>
      </c>
      <c r="AN25" s="35" t="s">
        <v>183</v>
      </c>
      <c r="AO25" s="54" t="s">
        <v>121</v>
      </c>
      <c r="AP25" s="37" t="s">
        <v>356</v>
      </c>
      <c r="AQ25" s="23" t="s">
        <v>355</v>
      </c>
      <c r="AR25" s="19" t="s">
        <v>357</v>
      </c>
      <c r="AS25" s="20"/>
      <c r="AT25" s="37"/>
      <c r="AU25" s="19"/>
      <c r="AV25" s="19"/>
      <c r="AW25" s="19"/>
    </row>
    <row r="26" spans="18:49" ht="15.75" customHeight="1" x14ac:dyDescent="0.35">
      <c r="R26" s="46" t="s">
        <v>103</v>
      </c>
      <c r="S26" s="1" t="s">
        <v>54</v>
      </c>
      <c r="T26" s="1">
        <v>15658879929</v>
      </c>
      <c r="U26" s="23" t="s">
        <v>55</v>
      </c>
      <c r="V26" s="21"/>
      <c r="W26" s="53" t="s">
        <v>490</v>
      </c>
      <c r="X26" s="37" t="s">
        <v>419</v>
      </c>
      <c r="Y26" s="50" t="s">
        <v>420</v>
      </c>
      <c r="Z26" s="19" t="s">
        <v>421</v>
      </c>
      <c r="AA26" s="19">
        <v>18953119966</v>
      </c>
      <c r="AB26" s="23" t="s">
        <v>422</v>
      </c>
      <c r="AC26" s="19"/>
      <c r="AD26" s="68" t="s">
        <v>490</v>
      </c>
      <c r="AE26" s="37" t="s">
        <v>491</v>
      </c>
      <c r="AF26" s="19" t="s">
        <v>66</v>
      </c>
      <c r="AG26" s="19">
        <v>18668060228</v>
      </c>
      <c r="AH26" s="23" t="s">
        <v>104</v>
      </c>
      <c r="AI26" s="19"/>
      <c r="AJ26" s="37" t="s">
        <v>524</v>
      </c>
      <c r="AK26" s="23" t="s">
        <v>272</v>
      </c>
      <c r="AL26" s="23" t="str">
        <f t="shared" si="1"/>
        <v>;benhy@insur.com;lixialc@inspur.com</v>
      </c>
      <c r="AM26" s="35" t="s">
        <v>183</v>
      </c>
      <c r="AN26" s="35" t="s">
        <v>183</v>
      </c>
      <c r="AO26" s="54" t="s">
        <v>103</v>
      </c>
      <c r="AP26" s="37"/>
      <c r="AQ26" s="23"/>
      <c r="AR26" s="19"/>
      <c r="AS26" s="20"/>
      <c r="AT26" s="37"/>
      <c r="AU26" s="19"/>
      <c r="AV26" s="19"/>
      <c r="AW26" s="19"/>
    </row>
    <row r="27" spans="18:49" ht="15.75" customHeight="1" x14ac:dyDescent="0.35">
      <c r="R27" s="46" t="s">
        <v>107</v>
      </c>
      <c r="S27" s="2" t="s">
        <v>18</v>
      </c>
      <c r="T27" s="2">
        <v>13385115600</v>
      </c>
      <c r="U27" s="23" t="s">
        <v>19</v>
      </c>
      <c r="V27" s="21"/>
      <c r="W27" s="53" t="s">
        <v>120</v>
      </c>
      <c r="X27" s="37" t="s">
        <v>148</v>
      </c>
      <c r="Y27" s="50" t="s">
        <v>284</v>
      </c>
      <c r="Z27" s="19" t="s">
        <v>143</v>
      </c>
      <c r="AA27" s="19">
        <v>18985187797</v>
      </c>
      <c r="AB27" s="23" t="s">
        <v>308</v>
      </c>
      <c r="AC27" s="19"/>
      <c r="AD27" s="68" t="s">
        <v>120</v>
      </c>
      <c r="AE27" s="37" t="s">
        <v>493</v>
      </c>
      <c r="AF27" s="19" t="s">
        <v>73</v>
      </c>
      <c r="AG27" s="19">
        <v>13312213132</v>
      </c>
      <c r="AH27" s="23" t="s">
        <v>108</v>
      </c>
      <c r="AI27" s="19"/>
      <c r="AJ27" s="37"/>
      <c r="AK27" s="23" t="s">
        <v>183</v>
      </c>
      <c r="AL27" s="23" t="str">
        <f t="shared" si="1"/>
        <v>;fuyx@inspur.com;</v>
      </c>
      <c r="AM27" s="35" t="s">
        <v>183</v>
      </c>
      <c r="AN27" s="35" t="s">
        <v>183</v>
      </c>
      <c r="AO27" s="54" t="s">
        <v>120</v>
      </c>
      <c r="AP27" s="37"/>
      <c r="AQ27" s="23"/>
      <c r="AR27" s="19"/>
      <c r="AS27" s="20"/>
      <c r="AT27" s="37"/>
      <c r="AU27" s="19"/>
      <c r="AV27" s="19"/>
      <c r="AW27" s="19"/>
    </row>
    <row r="28" spans="18:49" ht="15.75" customHeight="1" x14ac:dyDescent="0.35">
      <c r="R28" s="46" t="s">
        <v>102</v>
      </c>
      <c r="S28" s="2" t="s">
        <v>30</v>
      </c>
      <c r="T28" s="2">
        <v>13904310166</v>
      </c>
      <c r="U28" s="23" t="s">
        <v>31</v>
      </c>
      <c r="V28" s="21"/>
      <c r="W28" s="53" t="s">
        <v>119</v>
      </c>
      <c r="X28" s="37" t="s">
        <v>293</v>
      </c>
      <c r="Y28" s="50" t="s">
        <v>294</v>
      </c>
      <c r="Z28" s="19" t="s">
        <v>143</v>
      </c>
      <c r="AA28" s="19">
        <v>13904310878</v>
      </c>
      <c r="AB28" s="23" t="s">
        <v>309</v>
      </c>
      <c r="AC28" s="19"/>
      <c r="AD28" s="68" t="s">
        <v>119</v>
      </c>
      <c r="AE28" s="37" t="s">
        <v>495</v>
      </c>
      <c r="AF28" s="19" t="s">
        <v>66</v>
      </c>
      <c r="AG28" s="19">
        <v>15104310492</v>
      </c>
      <c r="AH28" s="23" t="s">
        <v>295</v>
      </c>
      <c r="AI28" s="19"/>
      <c r="AJ28" s="37"/>
      <c r="AK28" s="23" t="s">
        <v>183</v>
      </c>
      <c r="AL28" s="23" t="str">
        <f t="shared" si="1"/>
        <v>;liupf@inspur.com;</v>
      </c>
      <c r="AM28" s="35" t="s">
        <v>183</v>
      </c>
      <c r="AN28" s="35" t="s">
        <v>183</v>
      </c>
      <c r="AO28" s="54" t="s">
        <v>119</v>
      </c>
      <c r="AP28" s="37"/>
      <c r="AQ28" s="23"/>
      <c r="AR28" s="19"/>
      <c r="AS28" s="20"/>
      <c r="AT28" s="37"/>
      <c r="AU28" s="19"/>
      <c r="AV28" s="19"/>
      <c r="AW28" s="19"/>
    </row>
    <row r="29" spans="18:49" ht="15.75" customHeight="1" x14ac:dyDescent="0.35">
      <c r="R29" s="46" t="s">
        <v>98</v>
      </c>
      <c r="S29" s="1" t="s">
        <v>52</v>
      </c>
      <c r="T29" s="1">
        <v>13911166859</v>
      </c>
      <c r="U29" s="23" t="s">
        <v>53</v>
      </c>
      <c r="V29" s="21"/>
      <c r="W29" s="53" t="s">
        <v>118</v>
      </c>
      <c r="X29" s="37" t="s">
        <v>166</v>
      </c>
      <c r="Y29" s="50" t="s">
        <v>285</v>
      </c>
      <c r="Z29" s="19" t="s">
        <v>143</v>
      </c>
      <c r="AA29" s="19">
        <v>13769110025</v>
      </c>
      <c r="AB29" s="23" t="s">
        <v>172</v>
      </c>
      <c r="AC29" s="19"/>
      <c r="AD29" s="68" t="s">
        <v>118</v>
      </c>
      <c r="AE29" s="37" t="s">
        <v>497</v>
      </c>
      <c r="AF29" s="19" t="s">
        <v>80</v>
      </c>
      <c r="AG29" s="19">
        <v>18653172188</v>
      </c>
      <c r="AH29" s="23" t="s">
        <v>99</v>
      </c>
      <c r="AI29" s="19"/>
      <c r="AJ29" s="37" t="s">
        <v>525</v>
      </c>
      <c r="AK29" s="23" t="s">
        <v>224</v>
      </c>
      <c r="AL29" s="23" t="str">
        <f t="shared" si="1"/>
        <v>;guowj@inspur.com;zhangxiaohong@inspur.com</v>
      </c>
      <c r="AM29" s="35" t="s">
        <v>183</v>
      </c>
      <c r="AN29" s="35" t="s">
        <v>183</v>
      </c>
      <c r="AO29" s="54" t="s">
        <v>118</v>
      </c>
      <c r="AP29" s="37"/>
      <c r="AQ29" s="23"/>
      <c r="AR29" s="19"/>
      <c r="AS29" s="20"/>
      <c r="AT29" s="37"/>
      <c r="AU29" s="19"/>
      <c r="AV29" s="19"/>
      <c r="AW29" s="19"/>
    </row>
    <row r="30" spans="18:49" ht="15.75" customHeight="1" x14ac:dyDescent="0.35">
      <c r="R30" s="46" t="s">
        <v>114</v>
      </c>
      <c r="S30" s="1" t="s">
        <v>20</v>
      </c>
      <c r="T30" s="1">
        <v>18608994333</v>
      </c>
      <c r="U30" s="23" t="s">
        <v>21</v>
      </c>
      <c r="V30" s="21"/>
      <c r="W30" s="53" t="s">
        <v>498</v>
      </c>
      <c r="X30" s="1" t="s">
        <v>532</v>
      </c>
      <c r="Y30" s="50" t="s">
        <v>533</v>
      </c>
      <c r="Z30" s="19"/>
      <c r="AA30" s="19">
        <v>18907623892</v>
      </c>
      <c r="AB30" s="4" t="s">
        <v>534</v>
      </c>
      <c r="AC30" s="19"/>
      <c r="AD30" s="68" t="s">
        <v>498</v>
      </c>
      <c r="AE30" s="37" t="s">
        <v>500</v>
      </c>
      <c r="AF30" s="65" t="s">
        <v>183</v>
      </c>
      <c r="AG30" s="19"/>
      <c r="AH30" s="23" t="s">
        <v>234</v>
      </c>
      <c r="AI30" s="19"/>
      <c r="AJ30" s="37"/>
      <c r="AK30" s="23" t="s">
        <v>183</v>
      </c>
      <c r="AL30" s="23" t="str">
        <f t="shared" si="1"/>
        <v>;thz@inspur.com;</v>
      </c>
      <c r="AM30" s="35" t="s">
        <v>183</v>
      </c>
      <c r="AN30" s="35" t="s">
        <v>183</v>
      </c>
      <c r="AO30" s="54" t="s">
        <v>114</v>
      </c>
      <c r="AP30" s="37"/>
      <c r="AQ30" s="23"/>
      <c r="AR30" s="19"/>
      <c r="AS30" s="20"/>
      <c r="AT30" s="37"/>
      <c r="AU30" s="19"/>
      <c r="AV30" s="19"/>
      <c r="AW30" s="19"/>
    </row>
    <row r="31" spans="18:49" ht="15.75" customHeight="1" x14ac:dyDescent="0.35">
      <c r="R31" s="46" t="s">
        <v>109</v>
      </c>
      <c r="S31" s="1" t="s">
        <v>38</v>
      </c>
      <c r="T31" s="1">
        <v>13309595050</v>
      </c>
      <c r="U31" s="23" t="s">
        <v>39</v>
      </c>
      <c r="V31" s="21"/>
      <c r="W31" s="53" t="s">
        <v>501</v>
      </c>
      <c r="X31" s="37" t="s">
        <v>155</v>
      </c>
      <c r="Y31" s="50" t="s">
        <v>286</v>
      </c>
      <c r="Z31" s="19" t="s">
        <v>143</v>
      </c>
      <c r="AA31" s="19">
        <v>13909519110</v>
      </c>
      <c r="AB31" s="23" t="s">
        <v>173</v>
      </c>
      <c r="AC31" s="19"/>
      <c r="AD31" s="68" t="s">
        <v>501</v>
      </c>
      <c r="AE31" s="37" t="s">
        <v>502</v>
      </c>
      <c r="AF31" s="19" t="s">
        <v>66</v>
      </c>
      <c r="AG31" s="19">
        <v>18991165433</v>
      </c>
      <c r="AH31" s="23" t="s">
        <v>110</v>
      </c>
      <c r="AI31" s="19"/>
      <c r="AJ31" s="37"/>
      <c r="AK31" s="23" t="s">
        <v>183</v>
      </c>
      <c r="AL31" s="23" t="str">
        <f t="shared" si="1"/>
        <v>;hanmin@insur.com;</v>
      </c>
      <c r="AM31" s="35" t="s">
        <v>183</v>
      </c>
      <c r="AN31" s="35" t="s">
        <v>183</v>
      </c>
      <c r="AO31" s="54" t="s">
        <v>163</v>
      </c>
      <c r="AP31" s="37"/>
      <c r="AQ31" s="23"/>
      <c r="AR31" s="19"/>
      <c r="AS31" s="20"/>
      <c r="AT31" s="37"/>
      <c r="AU31" s="19"/>
      <c r="AV31" s="19"/>
      <c r="AW31" s="19"/>
    </row>
    <row r="32" spans="18:49" ht="15.75" customHeight="1" x14ac:dyDescent="0.35">
      <c r="R32" s="46" t="s">
        <v>111</v>
      </c>
      <c r="S32" s="1" t="s">
        <v>353</v>
      </c>
      <c r="T32" s="1">
        <v>13893613145</v>
      </c>
      <c r="U32" s="23" t="s">
        <v>354</v>
      </c>
      <c r="V32" s="21"/>
      <c r="W32" s="53" t="s">
        <v>164</v>
      </c>
      <c r="X32" s="37" t="s">
        <v>427</v>
      </c>
      <c r="Y32" s="50" t="s">
        <v>335</v>
      </c>
      <c r="Z32" s="19"/>
      <c r="AA32" s="19">
        <v>13355412003</v>
      </c>
      <c r="AB32" s="23" t="s">
        <v>428</v>
      </c>
      <c r="AC32" s="19"/>
      <c r="AD32" s="68" t="s">
        <v>164</v>
      </c>
      <c r="AE32" s="37" t="s">
        <v>504</v>
      </c>
      <c r="AF32" s="19" t="s">
        <v>66</v>
      </c>
      <c r="AG32" s="19">
        <v>15309719572</v>
      </c>
      <c r="AH32" s="23" t="s">
        <v>112</v>
      </c>
      <c r="AI32" s="19"/>
      <c r="AJ32" s="37"/>
      <c r="AK32" s="23" t="s">
        <v>183</v>
      </c>
      <c r="AL32" s="23" t="str">
        <f t="shared" si="1"/>
        <v>miaokai@inspur.com;yangxueli@inspur.com;</v>
      </c>
      <c r="AM32" s="35" t="s">
        <v>183</v>
      </c>
      <c r="AN32" s="35" t="s">
        <v>183</v>
      </c>
      <c r="AO32" s="54" t="s">
        <v>164</v>
      </c>
      <c r="AP32" s="37" t="s">
        <v>149</v>
      </c>
      <c r="AQ32" s="23" t="s">
        <v>300</v>
      </c>
      <c r="AR32" s="19" t="s">
        <v>143</v>
      </c>
      <c r="AS32" s="20">
        <v>18697133660</v>
      </c>
      <c r="AT32" s="37"/>
      <c r="AU32" s="19"/>
      <c r="AV32" s="19"/>
      <c r="AW32" s="19"/>
    </row>
    <row r="33" spans="18:49" ht="15.75" customHeight="1" x14ac:dyDescent="0.35">
      <c r="R33" s="48" t="s">
        <v>206</v>
      </c>
      <c r="S33" s="3" t="s">
        <v>571</v>
      </c>
      <c r="T33" s="3">
        <v>13376415888</v>
      </c>
      <c r="U33" s="4" t="s">
        <v>570</v>
      </c>
      <c r="V33" s="22"/>
      <c r="W33" s="53" t="s">
        <v>505</v>
      </c>
      <c r="X33" s="37" t="s">
        <v>208</v>
      </c>
      <c r="Y33" s="50" t="s">
        <v>287</v>
      </c>
      <c r="Z33" s="19"/>
      <c r="AA33" s="19">
        <v>17380628812</v>
      </c>
      <c r="AB33" s="23" t="s">
        <v>310</v>
      </c>
      <c r="AC33" s="19"/>
      <c r="AD33" s="68" t="s">
        <v>505</v>
      </c>
      <c r="AE33" s="37" t="s">
        <v>506</v>
      </c>
      <c r="AF33" s="65" t="s">
        <v>183</v>
      </c>
      <c r="AG33" s="19"/>
      <c r="AH33" s="23" t="s">
        <v>255</v>
      </c>
      <c r="AI33" s="19"/>
      <c r="AJ33" s="37"/>
      <c r="AK33" s="23" t="s">
        <v>183</v>
      </c>
      <c r="AL33" s="23" t="str">
        <f t="shared" si="1"/>
        <v>;aixy@inspur.com;</v>
      </c>
      <c r="AM33" s="35" t="s">
        <v>183</v>
      </c>
      <c r="AN33" s="35" t="s">
        <v>183</v>
      </c>
      <c r="AO33" s="54" t="s">
        <v>206</v>
      </c>
      <c r="AP33" s="37"/>
      <c r="AQ33" s="23"/>
      <c r="AR33" s="19"/>
      <c r="AS33" s="20"/>
      <c r="AT33" s="37"/>
      <c r="AU33" s="19"/>
      <c r="AV33" s="19"/>
      <c r="AW33" s="19"/>
    </row>
    <row r="34" spans="18:49" ht="15.75" customHeight="1" x14ac:dyDescent="0.35">
      <c r="R34" s="49" t="s">
        <v>194</v>
      </c>
      <c r="S34" s="37"/>
      <c r="T34" s="19"/>
      <c r="U34" s="23"/>
      <c r="V34" s="19"/>
      <c r="W34" s="53" t="s">
        <v>507</v>
      </c>
      <c r="X34" s="37"/>
      <c r="Y34" s="50" t="s">
        <v>183</v>
      </c>
      <c r="Z34" s="19"/>
      <c r="AA34" s="19"/>
      <c r="AB34" s="23"/>
      <c r="AC34" s="19"/>
      <c r="AD34" s="68" t="s">
        <v>507</v>
      </c>
      <c r="AE34" s="37" t="s">
        <v>508</v>
      </c>
      <c r="AF34" s="65" t="s">
        <v>183</v>
      </c>
      <c r="AG34" s="19"/>
      <c r="AH34" s="23" t="s">
        <v>247</v>
      </c>
      <c r="AI34" s="19"/>
      <c r="AJ34" s="37"/>
      <c r="AK34" s="23"/>
      <c r="AL34" s="23" t="str">
        <f t="shared" si="1"/>
        <v>;gaozhm@inspur.com;</v>
      </c>
      <c r="AM34" s="35" t="s">
        <v>183</v>
      </c>
      <c r="AN34" s="35" t="s">
        <v>183</v>
      </c>
      <c r="AO34" s="54" t="s">
        <v>194</v>
      </c>
      <c r="AP34" s="37"/>
      <c r="AQ34" s="23"/>
      <c r="AR34" s="19"/>
      <c r="AS34" s="20"/>
      <c r="AT34" s="37"/>
      <c r="AU34" s="19"/>
      <c r="AV34" s="19"/>
      <c r="AW34" s="19"/>
    </row>
    <row r="35" spans="18:49" ht="15.75" customHeight="1" x14ac:dyDescent="0.35">
      <c r="R35" s="49" t="s">
        <v>195</v>
      </c>
      <c r="S35" s="37"/>
      <c r="T35" s="19"/>
      <c r="U35" s="23"/>
      <c r="V35" s="19"/>
      <c r="W35" s="53" t="s">
        <v>195</v>
      </c>
      <c r="X35" s="37"/>
      <c r="Y35" s="50" t="s">
        <v>183</v>
      </c>
      <c r="Z35" s="19"/>
      <c r="AA35" s="19"/>
      <c r="AB35" s="23"/>
      <c r="AC35" s="19"/>
      <c r="AD35" s="68" t="s">
        <v>195</v>
      </c>
      <c r="AE35" s="37" t="s">
        <v>196</v>
      </c>
      <c r="AF35" s="65" t="s">
        <v>183</v>
      </c>
      <c r="AG35" s="19"/>
      <c r="AH35" s="23" t="s">
        <v>225</v>
      </c>
      <c r="AI35" s="19"/>
      <c r="AJ35" s="37"/>
      <c r="AK35" s="23"/>
      <c r="AL35" s="23" t="str">
        <f t="shared" si="1"/>
        <v>;wangjiao@inspur.com;</v>
      </c>
      <c r="AM35" s="35" t="s">
        <v>183</v>
      </c>
      <c r="AN35" s="35" t="s">
        <v>183</v>
      </c>
      <c r="AO35" s="54" t="s">
        <v>195</v>
      </c>
      <c r="AP35" s="37"/>
      <c r="AQ35" s="23"/>
      <c r="AR35" s="19"/>
      <c r="AS35" s="20"/>
      <c r="AT35" s="37"/>
      <c r="AU35" s="19"/>
      <c r="AV35" s="19"/>
      <c r="AW35" s="19"/>
    </row>
    <row r="36" spans="18:49" ht="15.75" customHeight="1" x14ac:dyDescent="0.35">
      <c r="R36" s="49" t="s">
        <v>197</v>
      </c>
      <c r="S36" s="1" t="s">
        <v>235</v>
      </c>
      <c r="T36" s="19"/>
      <c r="U36" s="23" t="s">
        <v>248</v>
      </c>
      <c r="V36" s="19"/>
      <c r="W36" s="53" t="s">
        <v>197</v>
      </c>
      <c r="X36" s="37" t="s">
        <v>241</v>
      </c>
      <c r="Y36" s="50" t="s">
        <v>275</v>
      </c>
      <c r="Z36" s="19"/>
      <c r="AA36" s="19">
        <v>13305317619</v>
      </c>
      <c r="AB36" s="23" t="s">
        <v>253</v>
      </c>
      <c r="AC36" s="19"/>
      <c r="AD36" s="68" t="s">
        <v>197</v>
      </c>
      <c r="AE36" s="37" t="s">
        <v>210</v>
      </c>
      <c r="AF36" s="65" t="s">
        <v>183</v>
      </c>
      <c r="AG36" s="19"/>
      <c r="AH36" s="23" t="s">
        <v>226</v>
      </c>
      <c r="AI36" s="19"/>
      <c r="AJ36" s="37"/>
      <c r="AK36" s="23"/>
      <c r="AL36" s="23" t="str">
        <f t="shared" si="1"/>
        <v>;liuzhiyu@inspur.com;</v>
      </c>
      <c r="AM36" s="35" t="s">
        <v>183</v>
      </c>
      <c r="AN36" s="35" t="s">
        <v>183</v>
      </c>
      <c r="AO36" s="54" t="s">
        <v>197</v>
      </c>
      <c r="AP36" s="37"/>
      <c r="AQ36" s="23"/>
      <c r="AR36" s="19"/>
      <c r="AS36" s="20"/>
      <c r="AT36" s="37"/>
      <c r="AU36" s="19"/>
      <c r="AV36" s="19"/>
      <c r="AW36" s="19"/>
    </row>
    <row r="37" spans="18:49" ht="15.75" customHeight="1" x14ac:dyDescent="0.35">
      <c r="R37" s="49" t="s">
        <v>198</v>
      </c>
      <c r="S37" s="1" t="s">
        <v>236</v>
      </c>
      <c r="T37" s="19"/>
      <c r="U37" s="23" t="s">
        <v>249</v>
      </c>
      <c r="V37" s="19"/>
      <c r="W37" s="53" t="s">
        <v>198</v>
      </c>
      <c r="X37" s="37" t="s">
        <v>242</v>
      </c>
      <c r="Y37" s="50" t="s">
        <v>281</v>
      </c>
      <c r="Z37" s="19"/>
      <c r="AA37" s="19">
        <v>18901155067</v>
      </c>
      <c r="AB37" s="23" t="s">
        <v>254</v>
      </c>
      <c r="AC37" s="19"/>
      <c r="AD37" s="68" t="s">
        <v>198</v>
      </c>
      <c r="AE37" s="37" t="s">
        <v>211</v>
      </c>
      <c r="AF37" s="65" t="s">
        <v>183</v>
      </c>
      <c r="AG37" s="19"/>
      <c r="AH37" s="23" t="s">
        <v>227</v>
      </c>
      <c r="AI37" s="19"/>
      <c r="AJ37" s="37"/>
      <c r="AK37" s="23"/>
      <c r="AL37" s="23" t="str">
        <f t="shared" si="1"/>
        <v>fujt@inspur.com;chenfy@inspur.com;</v>
      </c>
      <c r="AM37" s="35" t="s">
        <v>183</v>
      </c>
      <c r="AN37" s="35" t="s">
        <v>183</v>
      </c>
      <c r="AO37" s="54" t="s">
        <v>198</v>
      </c>
      <c r="AP37" s="37" t="s">
        <v>311</v>
      </c>
      <c r="AQ37" s="23" t="s">
        <v>312</v>
      </c>
      <c r="AR37" s="19"/>
      <c r="AS37" s="20">
        <v>18600040407</v>
      </c>
      <c r="AT37" s="37"/>
      <c r="AU37" s="19"/>
      <c r="AV37" s="19"/>
      <c r="AW37" s="19"/>
    </row>
    <row r="38" spans="18:49" ht="15.75" customHeight="1" x14ac:dyDescent="0.35">
      <c r="R38" s="49" t="s">
        <v>199</v>
      </c>
      <c r="S38" s="1" t="s">
        <v>237</v>
      </c>
      <c r="T38" s="19"/>
      <c r="U38" s="23" t="s">
        <v>250</v>
      </c>
      <c r="V38" s="19"/>
      <c r="W38" s="53" t="s">
        <v>199</v>
      </c>
      <c r="X38" s="37" t="s">
        <v>437</v>
      </c>
      <c r="Y38" s="50" t="s">
        <v>438</v>
      </c>
      <c r="Z38" s="19"/>
      <c r="AA38" s="19">
        <v>18600500301</v>
      </c>
      <c r="AB38" s="23" t="s">
        <v>439</v>
      </c>
      <c r="AC38" s="19"/>
      <c r="AD38" s="68" t="s">
        <v>199</v>
      </c>
      <c r="AE38" s="37" t="s">
        <v>212</v>
      </c>
      <c r="AF38" s="65" t="s">
        <v>183</v>
      </c>
      <c r="AG38" s="19"/>
      <c r="AH38" s="23" t="s">
        <v>228</v>
      </c>
      <c r="AI38" s="19"/>
      <c r="AJ38" s="37"/>
      <c r="AK38" s="23"/>
      <c r="AL38" s="23" t="str">
        <f t="shared" si="1"/>
        <v>;wangjinping@inspur.com;</v>
      </c>
      <c r="AM38" s="35" t="s">
        <v>183</v>
      </c>
      <c r="AN38" s="35" t="s">
        <v>183</v>
      </c>
      <c r="AO38" s="54" t="s">
        <v>199</v>
      </c>
      <c r="AP38" s="37"/>
      <c r="AQ38" s="23"/>
      <c r="AR38" s="19"/>
      <c r="AS38" s="20"/>
      <c r="AT38" s="37"/>
      <c r="AU38" s="19"/>
      <c r="AV38" s="19"/>
      <c r="AW38" s="19"/>
    </row>
    <row r="39" spans="18:49" ht="15.75" customHeight="1" x14ac:dyDescent="0.35">
      <c r="R39" s="49" t="s">
        <v>200</v>
      </c>
      <c r="S39" s="1" t="s">
        <v>238</v>
      </c>
      <c r="T39" s="19"/>
      <c r="U39" s="23" t="s">
        <v>251</v>
      </c>
      <c r="V39" s="19"/>
      <c r="W39" s="53" t="s">
        <v>200</v>
      </c>
      <c r="X39" s="37" t="s">
        <v>433</v>
      </c>
      <c r="Y39" s="50" t="s">
        <v>288</v>
      </c>
      <c r="Z39" s="19"/>
      <c r="AA39" s="19">
        <v>13911595951</v>
      </c>
      <c r="AB39" s="23" t="s">
        <v>434</v>
      </c>
      <c r="AC39" s="19"/>
      <c r="AD39" s="68" t="s">
        <v>200</v>
      </c>
      <c r="AE39" s="37" t="s">
        <v>510</v>
      </c>
      <c r="AF39" s="65" t="s">
        <v>183</v>
      </c>
      <c r="AG39" s="19"/>
      <c r="AH39" s="23" t="s">
        <v>265</v>
      </c>
      <c r="AI39" s="19"/>
      <c r="AJ39" s="37"/>
      <c r="AK39" s="23"/>
      <c r="AL39" s="23" t="str">
        <f t="shared" si="1"/>
        <v>chenng@inspur.com;zhujiong@inspur.com;zhangxue@inspur.com;</v>
      </c>
      <c r="AM39" s="35" t="s">
        <v>183</v>
      </c>
      <c r="AN39" s="35" t="s">
        <v>183</v>
      </c>
      <c r="AO39" s="54" t="s">
        <v>200</v>
      </c>
      <c r="AP39" s="37" t="s">
        <v>264</v>
      </c>
      <c r="AQ39" s="23" t="s">
        <v>267</v>
      </c>
      <c r="AR39" s="19" t="s">
        <v>268</v>
      </c>
      <c r="AS39" s="20"/>
      <c r="AT39" s="37"/>
      <c r="AU39" s="19"/>
      <c r="AV39" s="19"/>
      <c r="AW39" s="19"/>
    </row>
    <row r="40" spans="18:49" ht="15.75" customHeight="1" x14ac:dyDescent="0.35">
      <c r="R40" s="49" t="s">
        <v>201</v>
      </c>
      <c r="S40" s="1" t="s">
        <v>239</v>
      </c>
      <c r="T40" s="19"/>
      <c r="U40" s="23" t="s">
        <v>252</v>
      </c>
      <c r="V40" s="19"/>
      <c r="W40" s="53" t="s">
        <v>201</v>
      </c>
      <c r="X40" s="74" t="s">
        <v>530</v>
      </c>
      <c r="Y40" s="50" t="s">
        <v>531</v>
      </c>
      <c r="Z40" s="19"/>
      <c r="AA40" s="19">
        <v>18660780676</v>
      </c>
      <c r="AB40" s="4" t="s">
        <v>529</v>
      </c>
      <c r="AC40" s="19"/>
      <c r="AD40" s="68" t="s">
        <v>201</v>
      </c>
      <c r="AE40" s="37" t="s">
        <v>213</v>
      </c>
      <c r="AF40" s="65" t="s">
        <v>183</v>
      </c>
      <c r="AG40" s="19"/>
      <c r="AH40" s="23" t="s">
        <v>229</v>
      </c>
      <c r="AI40" s="19"/>
      <c r="AJ40" s="37"/>
      <c r="AK40" s="23"/>
      <c r="AL40" s="23" t="str">
        <f t="shared" si="1"/>
        <v>;tingzhang@inspur.com;</v>
      </c>
      <c r="AM40" s="35" t="s">
        <v>183</v>
      </c>
      <c r="AN40" s="35" t="s">
        <v>183</v>
      </c>
      <c r="AO40" s="54" t="s">
        <v>201</v>
      </c>
      <c r="AP40" s="37"/>
      <c r="AQ40" s="23"/>
      <c r="AR40" s="19"/>
      <c r="AS40" s="20"/>
      <c r="AT40" s="37"/>
      <c r="AU40" s="19"/>
      <c r="AV40" s="19"/>
      <c r="AW40" s="19"/>
    </row>
    <row r="41" spans="18:49" ht="15.75" customHeight="1" x14ac:dyDescent="0.35">
      <c r="R41" s="49" t="s">
        <v>202</v>
      </c>
      <c r="S41" s="82" t="s">
        <v>573</v>
      </c>
      <c r="T41" s="19"/>
      <c r="U41" s="23"/>
      <c r="V41" s="19"/>
      <c r="W41" s="53" t="s">
        <v>202</v>
      </c>
      <c r="X41" s="37"/>
      <c r="Y41" s="50" t="s">
        <v>183</v>
      </c>
      <c r="Z41" s="19"/>
      <c r="AA41" s="19"/>
      <c r="AB41" s="23"/>
      <c r="AC41" s="19"/>
      <c r="AD41" s="68" t="s">
        <v>511</v>
      </c>
      <c r="AE41" s="37" t="s">
        <v>214</v>
      </c>
      <c r="AF41" s="65" t="s">
        <v>183</v>
      </c>
      <c r="AG41" s="19"/>
      <c r="AH41" s="23" t="s">
        <v>230</v>
      </c>
      <c r="AI41" s="19"/>
      <c r="AJ41" s="37"/>
      <c r="AK41" s="23"/>
      <c r="AL41" s="23" t="str">
        <f t="shared" si="1"/>
        <v>;sunxch@inspur.com;</v>
      </c>
      <c r="AM41" s="35" t="s">
        <v>183</v>
      </c>
      <c r="AN41" s="35" t="s">
        <v>183</v>
      </c>
      <c r="AO41" s="54" t="s">
        <v>202</v>
      </c>
      <c r="AP41" s="37"/>
      <c r="AQ41" s="23"/>
      <c r="AR41" s="19"/>
      <c r="AS41" s="20"/>
      <c r="AT41" s="37"/>
      <c r="AU41" s="19"/>
      <c r="AV41" s="19"/>
      <c r="AW41" s="19"/>
    </row>
    <row r="42" spans="18:49" ht="15.75" customHeight="1" x14ac:dyDescent="0.35">
      <c r="R42" s="49" t="s">
        <v>203</v>
      </c>
      <c r="S42" s="37" t="s">
        <v>338</v>
      </c>
      <c r="T42" s="19"/>
      <c r="U42" s="23" t="s">
        <v>337</v>
      </c>
      <c r="V42" s="19"/>
      <c r="W42" s="53" t="s">
        <v>203</v>
      </c>
      <c r="X42" s="37" t="s">
        <v>340</v>
      </c>
      <c r="Y42" s="50" t="s">
        <v>341</v>
      </c>
      <c r="Z42" s="19"/>
      <c r="AA42" s="19">
        <v>13905317501</v>
      </c>
      <c r="AB42" s="23" t="s">
        <v>339</v>
      </c>
      <c r="AC42" s="19"/>
      <c r="AD42" s="68" t="s">
        <v>512</v>
      </c>
      <c r="AE42" s="37" t="s">
        <v>215</v>
      </c>
      <c r="AF42" s="65" t="s">
        <v>183</v>
      </c>
      <c r="AG42" s="19"/>
      <c r="AH42" s="23" t="s">
        <v>231</v>
      </c>
      <c r="AI42" s="19"/>
      <c r="AJ42" s="37"/>
      <c r="AK42" s="23"/>
      <c r="AL42" s="23" t="str">
        <f t="shared" si="1"/>
        <v>;kanhx@inspur.com;</v>
      </c>
      <c r="AM42" s="35" t="s">
        <v>183</v>
      </c>
      <c r="AN42" s="35" t="s">
        <v>183</v>
      </c>
      <c r="AO42" s="54" t="s">
        <v>203</v>
      </c>
      <c r="AP42" s="37"/>
      <c r="AQ42" s="23"/>
      <c r="AR42" s="19"/>
      <c r="AS42" s="20"/>
      <c r="AT42" s="37"/>
      <c r="AU42" s="19"/>
      <c r="AV42" s="19"/>
      <c r="AW42" s="19"/>
    </row>
    <row r="43" spans="18:49" ht="15.75" customHeight="1" x14ac:dyDescent="0.35">
      <c r="R43" s="49" t="s">
        <v>204</v>
      </c>
      <c r="S43" s="82" t="s">
        <v>572</v>
      </c>
      <c r="T43" s="19"/>
      <c r="U43" s="23"/>
      <c r="V43" s="19"/>
      <c r="W43" s="53" t="s">
        <v>204</v>
      </c>
      <c r="X43" s="37"/>
      <c r="Y43" s="50" t="s">
        <v>183</v>
      </c>
      <c r="Z43" s="19"/>
      <c r="AA43" s="19"/>
      <c r="AB43" s="23"/>
      <c r="AC43" s="19"/>
      <c r="AD43" s="68" t="s">
        <v>513</v>
      </c>
      <c r="AE43" s="37" t="s">
        <v>514</v>
      </c>
      <c r="AF43" s="65" t="s">
        <v>183</v>
      </c>
      <c r="AG43" s="19"/>
      <c r="AH43" s="23" t="s">
        <v>232</v>
      </c>
      <c r="AI43" s="19"/>
      <c r="AJ43" s="37"/>
      <c r="AK43" s="23"/>
      <c r="AL43" s="23" t="str">
        <f t="shared" si="1"/>
        <v>;li-xiaojing@inspur.com;</v>
      </c>
      <c r="AM43" s="35" t="s">
        <v>183</v>
      </c>
      <c r="AN43" s="35" t="s">
        <v>183</v>
      </c>
      <c r="AO43" s="54" t="s">
        <v>204</v>
      </c>
      <c r="AP43" s="37"/>
      <c r="AQ43" s="23"/>
      <c r="AR43" s="19"/>
      <c r="AS43" s="20"/>
      <c r="AT43" s="37"/>
      <c r="AU43" s="19"/>
      <c r="AV43" s="19"/>
      <c r="AW43" s="19"/>
    </row>
    <row r="44" spans="18:49" ht="15.75" customHeight="1" x14ac:dyDescent="0.35">
      <c r="R44" s="49" t="s">
        <v>410</v>
      </c>
      <c r="S44" s="37" t="s">
        <v>240</v>
      </c>
      <c r="T44" s="19"/>
      <c r="U44" s="23" t="s">
        <v>314</v>
      </c>
      <c r="V44" s="19"/>
      <c r="W44" s="53" t="s">
        <v>410</v>
      </c>
      <c r="X44" s="37" t="s">
        <v>326</v>
      </c>
      <c r="Y44" s="50" t="s">
        <v>327</v>
      </c>
      <c r="Z44" s="19"/>
      <c r="AA44" s="19">
        <v>13911226521</v>
      </c>
      <c r="AB44" s="23" t="s">
        <v>325</v>
      </c>
      <c r="AC44" s="19"/>
      <c r="AD44" s="68" t="s">
        <v>515</v>
      </c>
      <c r="AE44" s="37" t="s">
        <v>216</v>
      </c>
      <c r="AF44" s="65" t="s">
        <v>183</v>
      </c>
      <c r="AG44" s="19"/>
      <c r="AH44" s="23" t="s">
        <v>233</v>
      </c>
      <c r="AI44" s="19"/>
      <c r="AJ44" s="37"/>
      <c r="AK44" s="23"/>
      <c r="AL44" s="23" t="str">
        <f t="shared" si="1"/>
        <v>;zhanglinjun@inspur.com;</v>
      </c>
      <c r="AM44" s="35" t="s">
        <v>183</v>
      </c>
      <c r="AN44" s="35" t="s">
        <v>183</v>
      </c>
      <c r="AO44" s="54" t="s">
        <v>410</v>
      </c>
      <c r="AP44" s="37"/>
      <c r="AQ44" s="23"/>
      <c r="AR44" s="19"/>
      <c r="AS44" s="20"/>
      <c r="AT44" s="37"/>
      <c r="AU44" s="19"/>
      <c r="AV44" s="19"/>
      <c r="AW44" s="19"/>
    </row>
    <row r="45" spans="18:49" ht="15.75" customHeight="1" x14ac:dyDescent="0.35">
      <c r="R45" s="49" t="s">
        <v>411</v>
      </c>
      <c r="S45" s="37" t="s">
        <v>441</v>
      </c>
      <c r="T45" s="19"/>
      <c r="U45" s="23" t="s">
        <v>442</v>
      </c>
      <c r="V45" s="19"/>
      <c r="W45" s="53" t="s">
        <v>411</v>
      </c>
      <c r="X45" s="37" t="s">
        <v>412</v>
      </c>
      <c r="Y45" s="50" t="s">
        <v>413</v>
      </c>
      <c r="Z45" s="19"/>
      <c r="AA45" s="19">
        <v>18618357088</v>
      </c>
      <c r="AB45" s="23" t="s">
        <v>414</v>
      </c>
      <c r="AC45" s="19"/>
      <c r="AD45" s="68"/>
      <c r="AE45" s="37"/>
      <c r="AF45" s="65" t="s">
        <v>183</v>
      </c>
      <c r="AG45" s="19"/>
      <c r="AH45" s="23"/>
      <c r="AI45" s="19"/>
      <c r="AJ45" s="37"/>
      <c r="AK45" s="23"/>
      <c r="AL45" s="23"/>
      <c r="AM45" s="35"/>
      <c r="AN45" s="35" t="s">
        <v>183</v>
      </c>
      <c r="AO45" s="54"/>
      <c r="AP45" s="37"/>
      <c r="AQ45" s="23"/>
      <c r="AR45" s="19"/>
      <c r="AS45" s="20"/>
      <c r="AT45" s="37"/>
      <c r="AU45" s="19"/>
      <c r="AV45" s="19"/>
      <c r="AW45" s="19"/>
    </row>
  </sheetData>
  <autoFilter ref="A1:AW2"/>
  <phoneticPr fontId="6" type="noConversion"/>
  <hyperlinks>
    <hyperlink ref="AQ22" r:id="rId1"/>
    <hyperlink ref="AQ39" r:id="rId2"/>
    <hyperlink ref="AK26" r:id="rId3"/>
    <hyperlink ref="AQ37" r:id="rId4"/>
    <hyperlink ref="AK25" r:id="rId5"/>
    <hyperlink ref="AB25" r:id="rId6"/>
    <hyperlink ref="AB13" r:id="rId7"/>
    <hyperlink ref="AB44" r:id="rId8"/>
    <hyperlink ref="AW22" r:id="rId9"/>
    <hyperlink ref="AB19" r:id="rId10"/>
    <hyperlink ref="AB21" r:id="rId11"/>
    <hyperlink ref="AB42" r:id="rId12"/>
    <hyperlink ref="AB16" r:id="rId13"/>
    <hyperlink ref="AQ25" r:id="rId14"/>
    <hyperlink ref="AB18" r:id="rId15"/>
    <hyperlink ref="AB22" r:id="rId16"/>
    <hyperlink ref="AK7" r:id="rId17"/>
    <hyperlink ref="AB4" r:id="rId18"/>
    <hyperlink ref="AB11" r:id="rId19"/>
    <hyperlink ref="AB23" r:id="rId20"/>
    <hyperlink ref="AB45" r:id="rId21"/>
    <hyperlink ref="AB26" r:id="rId22"/>
    <hyperlink ref="AB9" r:id="rId23"/>
    <hyperlink ref="AB32" r:id="rId24"/>
    <hyperlink ref="AB20" r:id="rId25"/>
    <hyperlink ref="AB39" r:id="rId26"/>
    <hyperlink ref="AB40" r:id="rId27"/>
    <hyperlink ref="AB30" r:id="rId28"/>
    <hyperlink ref="U11" r:id="rId29"/>
    <hyperlink ref="U33" r:id="rId30"/>
  </hyperlinks>
  <pageMargins left="0.7" right="0.7" top="0.75" bottom="0.75" header="0.3" footer="0.3"/>
  <pageSetup paperSize="9" orientation="portrait" r:id="rId31"/>
  <drawing r:id="rId32"/>
  <legacyDrawing r:id="rId3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7473" r:id="rId34" name="Button 1">
              <controlPr defaultSize="0" print="0" autoFill="0" autoPict="0" macro="[0]!批量发送邮件">
                <anchor moveWithCells="1">
                  <from>
                    <xdr:col>1</xdr:col>
                    <xdr:colOff>371475</xdr:colOff>
                    <xdr:row>0</xdr:row>
                    <xdr:rowOff>19050</xdr:rowOff>
                  </from>
                  <to>
                    <xdr:col>2</xdr:col>
                    <xdr:colOff>276225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S41"/>
  <sheetViews>
    <sheetView showGridLines="0" tabSelected="1" zoomScale="90" zoomScaleNormal="90" workbookViewId="0">
      <pane xSplit="6" ySplit="2" topLeftCell="L3" activePane="bottomRight" state="frozen"/>
      <selection pane="topRight" activeCell="G1" sqref="G1"/>
      <selection pane="bottomLeft" activeCell="A3" sqref="A3"/>
      <selection pane="bottomRight" activeCell="R8" sqref="R8"/>
    </sheetView>
  </sheetViews>
  <sheetFormatPr defaultRowHeight="15.75" customHeight="1" outlineLevelCol="1" x14ac:dyDescent="0.15"/>
  <cols>
    <col min="1" max="1" width="8.125" style="24" customWidth="1"/>
    <col min="2" max="2" width="12.125" style="24" customWidth="1"/>
    <col min="3" max="3" width="4.25" style="26" customWidth="1"/>
    <col min="4" max="4" width="5.125" style="26" customWidth="1"/>
    <col min="5" max="5" width="11.5" style="24" customWidth="1"/>
    <col min="6" max="6" width="7.5" style="29" customWidth="1"/>
    <col min="7" max="7" width="3.875" style="40" customWidth="1"/>
    <col min="8" max="8" width="2.625" style="40" customWidth="1"/>
    <col min="9" max="9" width="7.625" style="40" customWidth="1"/>
    <col min="10" max="10" width="4.875" style="40" customWidth="1"/>
    <col min="11" max="11" width="5" style="26" customWidth="1"/>
    <col min="12" max="12" width="4.25" style="26" customWidth="1"/>
    <col min="13" max="13" width="7.75" style="26" customWidth="1"/>
    <col min="14" max="14" width="5.875" style="41" customWidth="1"/>
    <col min="15" max="15" width="7.875" style="29" customWidth="1"/>
    <col min="16" max="16" width="13.125" style="26" customWidth="1"/>
    <col min="17" max="17" width="19.625" style="42" customWidth="1"/>
    <col min="18" max="18" width="5.875" style="26" customWidth="1"/>
    <col min="19" max="19" width="5.875" style="43" customWidth="1"/>
    <col min="20" max="20" width="5.5" style="29" customWidth="1"/>
    <col min="21" max="21" width="5.75" style="26" customWidth="1"/>
    <col min="22" max="22" width="3.25" style="26" hidden="1" customWidth="1"/>
    <col min="23" max="23" width="12.625" style="26" customWidth="1"/>
    <col min="24" max="24" width="4.625" style="25" customWidth="1"/>
    <col min="25" max="25" width="12" style="26" hidden="1" customWidth="1"/>
    <col min="26" max="26" width="5.25" style="24" customWidth="1"/>
    <col min="27" max="27" width="8" style="26" customWidth="1"/>
    <col min="28" max="28" width="7.25" style="26" hidden="1" customWidth="1"/>
    <col min="29" max="29" width="12.25" style="26" hidden="1" customWidth="1"/>
    <col min="30" max="30" width="5.125" style="25" customWidth="1"/>
    <col min="31" max="31" width="8.25" style="26" hidden="1" customWidth="1"/>
    <col min="32" max="32" width="7" style="26" customWidth="1" outlineLevel="1"/>
    <col min="33" max="33" width="3.875" style="25" customWidth="1" outlineLevel="1"/>
    <col min="34" max="34" width="5.125" style="25" customWidth="1" outlineLevel="1"/>
    <col min="35" max="35" width="3.5" style="26" customWidth="1" outlineLevel="1"/>
    <col min="36" max="36" width="2.75" style="26" customWidth="1" outlineLevel="1"/>
    <col min="37" max="37" width="10.875" style="26" customWidth="1" outlineLevel="1"/>
    <col min="38" max="38" width="7.75" style="29" customWidth="1" outlineLevel="1"/>
    <col min="39" max="39" width="5.625" style="25" customWidth="1" outlineLevel="1"/>
    <col min="40" max="40" width="7.5" style="26" customWidth="1" outlineLevel="1"/>
    <col min="41" max="41" width="12.875" style="43" customWidth="1" outlineLevel="1"/>
    <col min="42" max="42" width="6.25" style="26" customWidth="1" outlineLevel="1"/>
    <col min="43" max="43" width="7" style="26" customWidth="1" outlineLevel="1"/>
    <col min="44" max="44" width="14.5" style="26" customWidth="1" outlineLevel="1"/>
    <col min="45" max="45" width="9" style="26" customWidth="1" outlineLevel="1"/>
    <col min="46" max="16384" width="9" style="26"/>
  </cols>
  <sheetData>
    <row r="1" spans="1:45" s="29" customFormat="1" ht="15.75" customHeight="1" x14ac:dyDescent="0.35">
      <c r="A1" s="66" t="s">
        <v>3</v>
      </c>
      <c r="B1" s="66" t="s">
        <v>4</v>
      </c>
      <c r="C1" s="14" t="s">
        <v>0</v>
      </c>
      <c r="D1" s="14" t="s">
        <v>1</v>
      </c>
      <c r="E1" s="66" t="s">
        <v>2</v>
      </c>
      <c r="F1" s="14" t="s">
        <v>6</v>
      </c>
      <c r="G1" s="14"/>
      <c r="H1" s="14" t="s">
        <v>188</v>
      </c>
      <c r="I1" s="14" t="s">
        <v>271</v>
      </c>
      <c r="J1" s="14" t="s">
        <v>0</v>
      </c>
      <c r="K1" s="14" t="s">
        <v>245</v>
      </c>
      <c r="L1" s="14" t="s">
        <v>290</v>
      </c>
      <c r="M1" s="14" t="s">
        <v>291</v>
      </c>
      <c r="N1" s="10" t="s">
        <v>113</v>
      </c>
      <c r="O1" s="10" t="s">
        <v>158</v>
      </c>
      <c r="P1" s="11" t="s">
        <v>8</v>
      </c>
      <c r="Q1" s="12" t="s">
        <v>244</v>
      </c>
      <c r="R1" s="10" t="s">
        <v>9</v>
      </c>
      <c r="S1" s="51" t="s">
        <v>140</v>
      </c>
      <c r="T1" s="13" t="s">
        <v>156</v>
      </c>
      <c r="U1" s="13" t="s">
        <v>273</v>
      </c>
      <c r="V1" s="13" t="s">
        <v>141</v>
      </c>
      <c r="W1" s="13" t="s">
        <v>63</v>
      </c>
      <c r="X1" s="44" t="s">
        <v>142</v>
      </c>
      <c r="Y1" s="13" t="s">
        <v>9</v>
      </c>
      <c r="Z1" s="66" t="s">
        <v>5</v>
      </c>
      <c r="AA1" s="14" t="s">
        <v>157</v>
      </c>
      <c r="AB1" s="14" t="s">
        <v>62</v>
      </c>
      <c r="AC1" s="14" t="s">
        <v>63</v>
      </c>
      <c r="AD1" s="55" t="s">
        <v>64</v>
      </c>
      <c r="AE1" s="14" t="s">
        <v>159</v>
      </c>
      <c r="AF1" s="14" t="s">
        <v>243</v>
      </c>
      <c r="AG1" s="55" t="s">
        <v>244</v>
      </c>
      <c r="AH1" s="55" t="s">
        <v>269</v>
      </c>
      <c r="AI1" s="27" t="s">
        <v>183</v>
      </c>
      <c r="AJ1" s="14"/>
      <c r="AK1" s="14" t="s">
        <v>5</v>
      </c>
      <c r="AL1" s="14" t="s">
        <v>259</v>
      </c>
      <c r="AM1" s="55" t="s">
        <v>244</v>
      </c>
      <c r="AN1" s="14" t="s">
        <v>159</v>
      </c>
      <c r="AO1" s="28" t="s">
        <v>301</v>
      </c>
      <c r="AP1" s="14"/>
      <c r="AQ1" s="14"/>
      <c r="AR1" s="14"/>
      <c r="AS1" s="14"/>
    </row>
    <row r="2" spans="1:45" ht="15.75" customHeight="1" x14ac:dyDescent="0.35">
      <c r="A2" s="15" t="str">
        <f t="shared" ref="A2:A41" si="0">IF(ISBLANK(X2),"",X2)</f>
        <v>shenfh@inspur.com</v>
      </c>
      <c r="B2" s="15" t="str">
        <f>Q2&amp;$L$2&amp;AH2</f>
        <v>shenfh@inspur.com;;shenfh@inspur.com;</v>
      </c>
      <c r="C2" s="16" t="str">
        <f>$J$2</f>
        <v>云服务集团FY2016业务数据</v>
      </c>
      <c r="D2" s="17" t="str">
        <f>U2&amp;$M$2</f>
        <v>A总，
      您好! 附件为贵单位本财年CSG签单/回款数据、CSG业务揭示，请查阅。
            云服务集团市场部</v>
      </c>
      <c r="E2" s="15" t="str">
        <f>"F:\工作\3浪潮云服务\市场部\本次发送\工作表合并\"&amp;F2&amp;".xlsx"</f>
        <v>F:\工作\3浪潮云服务\市场部\本次发送\工作表合并\测试.xlsx</v>
      </c>
      <c r="F2" s="57" t="s">
        <v>7</v>
      </c>
      <c r="G2" s="30" t="s">
        <v>183</v>
      </c>
      <c r="H2" s="60">
        <v>1</v>
      </c>
      <c r="I2" s="60"/>
      <c r="J2" s="81" t="s">
        <v>566</v>
      </c>
      <c r="K2" s="75" t="s">
        <v>565</v>
      </c>
      <c r="L2" s="16" t="s">
        <v>258</v>
      </c>
      <c r="M2" s="79" t="s">
        <v>567</v>
      </c>
      <c r="N2" s="5" t="s">
        <v>174</v>
      </c>
      <c r="O2" s="6" t="s">
        <v>184</v>
      </c>
      <c r="P2" s="7">
        <v>15589965595</v>
      </c>
      <c r="Q2" s="25" t="s">
        <v>299</v>
      </c>
      <c r="R2" s="6"/>
      <c r="S2" s="52"/>
      <c r="T2" s="9" t="s">
        <v>186</v>
      </c>
      <c r="U2" s="9" t="s">
        <v>274</v>
      </c>
      <c r="V2" s="8"/>
      <c r="W2" s="45">
        <v>15589965595</v>
      </c>
      <c r="X2" s="45" t="s">
        <v>299</v>
      </c>
      <c r="Y2" s="9"/>
      <c r="Z2" s="67"/>
      <c r="AA2" s="33" t="s">
        <v>185</v>
      </c>
      <c r="AB2" s="62" t="s">
        <v>183</v>
      </c>
      <c r="AC2" s="33">
        <v>15589965595</v>
      </c>
      <c r="AD2" s="23" t="s">
        <v>299</v>
      </c>
      <c r="AE2" s="34"/>
      <c r="AF2" s="63" t="s">
        <v>183</v>
      </c>
      <c r="AG2" s="56"/>
      <c r="AH2" s="56" t="str">
        <f>AM2&amp;";"&amp;AD2&amp;";"&amp;AG2</f>
        <v>;shenfh@inspur.com;</v>
      </c>
      <c r="AI2" s="35" t="s">
        <v>183</v>
      </c>
      <c r="AJ2" s="35" t="s">
        <v>183</v>
      </c>
      <c r="AK2" s="58"/>
      <c r="AL2" s="37"/>
      <c r="AM2" s="23"/>
      <c r="AN2" s="19"/>
      <c r="AO2" s="20"/>
      <c r="AP2" s="19"/>
      <c r="AQ2" s="19"/>
      <c r="AR2" s="19"/>
      <c r="AS2" s="19"/>
    </row>
    <row r="3" spans="1:45" ht="16.5" customHeight="1" x14ac:dyDescent="0.35">
      <c r="A3" s="18" t="str">
        <f t="shared" si="0"/>
        <v>zhaoww@inspur.com</v>
      </c>
      <c r="B3" s="18" t="str">
        <f t="shared" ref="B3:B41" si="1">Q3&amp;$L$2&amp;AH3&amp;$L$2&amp;$K$2</f>
        <v>zhangge@inspur.com;;zhuln@inspur.com;;kangzp@inspur.com;tangjing@inspur.com;</v>
      </c>
      <c r="C3" s="19" t="str">
        <f t="shared" ref="C3:C41" si="2">$J$2</f>
        <v>云服务集团FY2016业务数据</v>
      </c>
      <c r="D3" s="20" t="str">
        <f t="shared" ref="D3:D41" si="3">U3&amp;$M$2</f>
        <v>赵总，
      您好! 附件为贵单位本财年CSG签单/回款数据、CSG业务揭示，请查阅。
            云服务集团市场部</v>
      </c>
      <c r="E3" s="15" t="str">
        <f t="shared" ref="E3:E41" si="4">"F:\工作\3浪潮云服务\市场部\本次发送\工作表合并\"&amp;F3&amp;".xlsx"</f>
        <v>F:\工作\3浪潮云服务\市场部\本次发送\工作表合并\山东区.xlsx</v>
      </c>
      <c r="F3" s="69" t="s">
        <v>365</v>
      </c>
      <c r="G3" s="30"/>
      <c r="H3" s="61">
        <f t="shared" ref="H3:H41" si="5">IF(ISERROR(VLOOKUP(F3,I:I,1,0)),"",1)</f>
        <v>1</v>
      </c>
      <c r="I3" s="61"/>
      <c r="J3" s="36"/>
      <c r="M3" s="59" t="s">
        <v>318</v>
      </c>
      <c r="N3" s="46" t="s">
        <v>65</v>
      </c>
      <c r="O3" s="1" t="s">
        <v>40</v>
      </c>
      <c r="P3" s="1">
        <v>13305319906</v>
      </c>
      <c r="Q3" s="23" t="s">
        <v>41</v>
      </c>
      <c r="R3" s="21"/>
      <c r="S3" s="53" t="s">
        <v>270</v>
      </c>
      <c r="T3" s="37" t="s">
        <v>150</v>
      </c>
      <c r="U3" s="50" t="s">
        <v>275</v>
      </c>
      <c r="V3" s="19" t="s">
        <v>165</v>
      </c>
      <c r="W3" s="19">
        <v>15805316658</v>
      </c>
      <c r="X3" s="23" t="s">
        <v>304</v>
      </c>
      <c r="Y3" s="19"/>
      <c r="Z3" s="68" t="s">
        <v>270</v>
      </c>
      <c r="AA3" s="37" t="s">
        <v>444</v>
      </c>
      <c r="AB3" s="19" t="s">
        <v>66</v>
      </c>
      <c r="AC3" s="19">
        <v>18905310812</v>
      </c>
      <c r="AD3" s="23" t="s">
        <v>175</v>
      </c>
      <c r="AE3" s="19"/>
      <c r="AF3" s="64" t="s">
        <v>183</v>
      </c>
      <c r="AG3" s="23"/>
      <c r="AH3" s="23" t="str">
        <f t="shared" ref="AH3:AH40" si="6">AM3&amp;";"&amp;AD3&amp;";"&amp;AG3</f>
        <v>;zhuln@inspur.com;</v>
      </c>
      <c r="AI3" s="35" t="s">
        <v>183</v>
      </c>
      <c r="AJ3" s="35" t="s">
        <v>183</v>
      </c>
      <c r="AK3" s="54" t="s">
        <v>65</v>
      </c>
      <c r="AL3" s="37"/>
      <c r="AM3" s="23"/>
      <c r="AN3" s="19"/>
      <c r="AO3" s="20"/>
      <c r="AP3" s="37" t="s">
        <v>190</v>
      </c>
      <c r="AQ3" s="19" t="s">
        <v>217</v>
      </c>
      <c r="AR3" s="19"/>
      <c r="AS3" s="19"/>
    </row>
    <row r="4" spans="1:45" ht="15" customHeight="1" x14ac:dyDescent="0.35">
      <c r="A4" s="18" t="str">
        <f t="shared" si="0"/>
        <v>yangxubin@inspur.com</v>
      </c>
      <c r="B4" s="18" t="str">
        <f t="shared" si="1"/>
        <v>sunhb@inspur.com;;siyj@inspur.com;xuwenjun@inspur.com;kangzp@inspur.com;tangjing@inspur.com;</v>
      </c>
      <c r="C4" s="19" t="str">
        <f t="shared" si="2"/>
        <v>云服务集团FY2016业务数据</v>
      </c>
      <c r="D4" s="20" t="str">
        <f t="shared" si="3"/>
        <v>杨总，
      您好! 附件为贵单位本财年CSG签单/回款数据、CSG业务揭示，请查阅。
            云服务集团市场部</v>
      </c>
      <c r="E4" s="56" t="str">
        <f t="shared" si="4"/>
        <v>F:\工作\3浪潮云服务\市场部\本次发送\工作表合并\广东区.xlsx</v>
      </c>
      <c r="F4" s="70" t="s">
        <v>366</v>
      </c>
      <c r="G4" s="30"/>
      <c r="H4" s="61" t="str">
        <f t="shared" si="5"/>
        <v/>
      </c>
      <c r="I4" s="78" t="s">
        <v>538</v>
      </c>
      <c r="J4" s="36"/>
      <c r="M4" s="59" t="s">
        <v>317</v>
      </c>
      <c r="N4" s="46" t="s">
        <v>67</v>
      </c>
      <c r="O4" s="1" t="s">
        <v>14</v>
      </c>
      <c r="P4" s="1">
        <v>13705316901</v>
      </c>
      <c r="Q4" s="23" t="s">
        <v>15</v>
      </c>
      <c r="R4" s="21"/>
      <c r="S4" s="53" t="s">
        <v>445</v>
      </c>
      <c r="T4" s="37" t="s">
        <v>402</v>
      </c>
      <c r="U4" s="50" t="s">
        <v>316</v>
      </c>
      <c r="V4" s="19"/>
      <c r="W4" s="19">
        <v>13332883876</v>
      </c>
      <c r="X4" s="23" t="s">
        <v>401</v>
      </c>
      <c r="Y4" s="19"/>
      <c r="Z4" s="68" t="s">
        <v>445</v>
      </c>
      <c r="AA4" s="37" t="s">
        <v>446</v>
      </c>
      <c r="AB4" s="19" t="s">
        <v>68</v>
      </c>
      <c r="AC4" s="19">
        <v>13711668336</v>
      </c>
      <c r="AD4" s="23" t="s">
        <v>69</v>
      </c>
      <c r="AE4" s="19"/>
      <c r="AF4" s="37" t="s">
        <v>191</v>
      </c>
      <c r="AG4" s="23" t="s">
        <v>218</v>
      </c>
      <c r="AH4" s="23" t="str">
        <f t="shared" si="6"/>
        <v>;siyj@inspur.com;xuwenjun@inspur.com</v>
      </c>
      <c r="AI4" s="35" t="s">
        <v>183</v>
      </c>
      <c r="AJ4" s="35" t="s">
        <v>183</v>
      </c>
      <c r="AK4" s="54" t="s">
        <v>67</v>
      </c>
      <c r="AL4" s="37"/>
      <c r="AM4" s="23"/>
      <c r="AN4" s="19"/>
      <c r="AO4" s="20"/>
      <c r="AP4" s="37"/>
      <c r="AQ4" s="19"/>
      <c r="AR4" s="19"/>
      <c r="AS4" s="19"/>
    </row>
    <row r="5" spans="1:45" ht="15.75" customHeight="1" x14ac:dyDescent="0.35">
      <c r="A5" s="18" t="str">
        <f t="shared" si="0"/>
        <v>baochx@inspur.com</v>
      </c>
      <c r="B5" s="18" t="str">
        <f t="shared" si="1"/>
        <v>zhanglzh@inspur.com;;feily@inspur.com;;kangzp@inspur.com;tangjing@inspur.com;</v>
      </c>
      <c r="C5" s="19" t="str">
        <f t="shared" si="2"/>
        <v>云服务集团FY2016业务数据</v>
      </c>
      <c r="D5" s="20" t="str">
        <f t="shared" si="3"/>
        <v>包总，
      您好! 附件为贵单位本财年CSG签单/回款数据、CSG业务揭示，请查阅。
            云服务集团市场部</v>
      </c>
      <c r="E5" s="56" t="str">
        <f t="shared" si="4"/>
        <v>F:\工作\3浪潮云服务\市场部\本次发送\工作表合并\江苏区.xlsx</v>
      </c>
      <c r="F5" s="70" t="s">
        <v>367</v>
      </c>
      <c r="G5" s="30"/>
      <c r="H5" s="61" t="str">
        <f t="shared" si="5"/>
        <v/>
      </c>
      <c r="I5" s="78" t="s">
        <v>539</v>
      </c>
      <c r="J5" s="36"/>
      <c r="M5" s="59" t="s">
        <v>292</v>
      </c>
      <c r="N5" s="46" t="s">
        <v>70</v>
      </c>
      <c r="O5" s="1" t="s">
        <v>32</v>
      </c>
      <c r="P5" s="1">
        <v>18651623927</v>
      </c>
      <c r="Q5" s="23" t="s">
        <v>33</v>
      </c>
      <c r="R5" s="21"/>
      <c r="S5" s="53" t="s">
        <v>139</v>
      </c>
      <c r="T5" s="37" t="s">
        <v>189</v>
      </c>
      <c r="U5" s="50" t="s">
        <v>276</v>
      </c>
      <c r="V5" s="19" t="s">
        <v>165</v>
      </c>
      <c r="W5" s="19">
        <v>13770728288</v>
      </c>
      <c r="X5" s="23" t="s">
        <v>305</v>
      </c>
      <c r="Y5" s="19"/>
      <c r="Z5" s="68" t="s">
        <v>139</v>
      </c>
      <c r="AA5" s="37" t="s">
        <v>448</v>
      </c>
      <c r="AB5" s="65" t="s">
        <v>183</v>
      </c>
      <c r="AC5" s="19">
        <v>13218035620</v>
      </c>
      <c r="AD5" s="23" t="s">
        <v>176</v>
      </c>
      <c r="AE5" s="19"/>
      <c r="AF5" s="37"/>
      <c r="AG5" s="23" t="s">
        <v>183</v>
      </c>
      <c r="AH5" s="23" t="str">
        <f t="shared" si="6"/>
        <v>;feily@inspur.com;</v>
      </c>
      <c r="AI5" s="35" t="s">
        <v>183</v>
      </c>
      <c r="AJ5" s="35" t="s">
        <v>183</v>
      </c>
      <c r="AK5" s="54" t="s">
        <v>139</v>
      </c>
      <c r="AL5" s="37"/>
      <c r="AM5" s="23"/>
      <c r="AN5" s="19"/>
      <c r="AO5" s="20"/>
      <c r="AP5" s="37"/>
      <c r="AQ5" s="19"/>
      <c r="AR5" s="19"/>
      <c r="AS5" s="19"/>
    </row>
    <row r="6" spans="1:45" ht="15.75" customHeight="1" x14ac:dyDescent="0.35">
      <c r="A6" s="18" t="str">
        <f t="shared" si="0"/>
        <v>xygy@inspur.com</v>
      </c>
      <c r="B6" s="18" t="str">
        <f t="shared" si="1"/>
        <v>chenchh@inspur.com;;liu_lin@inspur.com;;kangzp@inspur.com;tangjing@inspur.com;</v>
      </c>
      <c r="C6" s="19" t="str">
        <f t="shared" si="2"/>
        <v>云服务集团FY2016业务数据</v>
      </c>
      <c r="D6" s="20" t="str">
        <f t="shared" si="3"/>
        <v>轩辕总，
      您好! 附件为贵单位本财年CSG签单/回款数据、CSG业务揭示，请查阅。
            云服务集团市场部</v>
      </c>
      <c r="E6" s="56" t="str">
        <f t="shared" si="4"/>
        <v>F:\工作\3浪潮云服务\市场部\本次发送\工作表合并\北京区.xlsx</v>
      </c>
      <c r="F6" s="70" t="s">
        <v>368</v>
      </c>
      <c r="G6" s="30"/>
      <c r="H6" s="61">
        <f t="shared" si="5"/>
        <v>1</v>
      </c>
      <c r="I6" s="61"/>
      <c r="J6" s="36"/>
      <c r="N6" s="46" t="s">
        <v>71</v>
      </c>
      <c r="O6" s="1" t="s">
        <v>12</v>
      </c>
      <c r="P6" s="1">
        <v>18610772799</v>
      </c>
      <c r="Q6" s="23" t="s">
        <v>13</v>
      </c>
      <c r="R6" s="21"/>
      <c r="S6" s="53" t="s">
        <v>138</v>
      </c>
      <c r="T6" s="37" t="s">
        <v>151</v>
      </c>
      <c r="U6" s="50" t="s">
        <v>289</v>
      </c>
      <c r="V6" s="19" t="s">
        <v>143</v>
      </c>
      <c r="W6" s="19">
        <v>18610161077</v>
      </c>
      <c r="X6" s="23" t="s">
        <v>167</v>
      </c>
      <c r="Y6" s="19"/>
      <c r="Z6" s="68" t="s">
        <v>138</v>
      </c>
      <c r="AA6" s="37" t="s">
        <v>450</v>
      </c>
      <c r="AB6" s="19" t="s">
        <v>66</v>
      </c>
      <c r="AC6" s="19">
        <v>15699733336</v>
      </c>
      <c r="AD6" s="23" t="s">
        <v>516</v>
      </c>
      <c r="AE6" s="19"/>
      <c r="AF6" s="37"/>
      <c r="AG6" s="23" t="s">
        <v>183</v>
      </c>
      <c r="AH6" s="23" t="str">
        <f t="shared" si="6"/>
        <v>;liu_lin@inspur.com;</v>
      </c>
      <c r="AI6" s="35" t="s">
        <v>183</v>
      </c>
      <c r="AJ6" s="35" t="s">
        <v>183</v>
      </c>
      <c r="AK6" s="54" t="s">
        <v>138</v>
      </c>
      <c r="AL6" s="37"/>
      <c r="AM6" s="23"/>
      <c r="AN6" s="19"/>
      <c r="AO6" s="20"/>
      <c r="AP6" s="37"/>
      <c r="AQ6" s="19"/>
      <c r="AR6" s="19"/>
      <c r="AS6" s="19"/>
    </row>
    <row r="7" spans="1:45" ht="15.75" customHeight="1" x14ac:dyDescent="0.35">
      <c r="A7" s="18" t="str">
        <f t="shared" si="0"/>
        <v>dengpf@inspur.com</v>
      </c>
      <c r="B7" s="18" t="str">
        <f t="shared" si="1"/>
        <v>wangrsh@inspur.com;;pengmin@inspur.com;caomi@inspur.com;dumenglan@inspur.com;kangzp@inspur.com;tangjing@inspur.com;</v>
      </c>
      <c r="C7" s="19" t="str">
        <f t="shared" si="2"/>
        <v>云服务集团FY2016业务数据</v>
      </c>
      <c r="D7" s="20" t="str">
        <f t="shared" si="3"/>
        <v>邓总，
      您好! 附件为贵单位本财年CSG签单/回款数据、CSG业务揭示，请查阅。
            云服务集团市场部</v>
      </c>
      <c r="E7" s="56" t="str">
        <f t="shared" si="4"/>
        <v>F:\工作\3浪潮云服务\市场部\本次发送\工作表合并\四川区.xlsx</v>
      </c>
      <c r="F7" s="1" t="s">
        <v>369</v>
      </c>
      <c r="G7" s="30"/>
      <c r="H7" s="61" t="str">
        <f t="shared" si="5"/>
        <v/>
      </c>
      <c r="I7" s="61"/>
      <c r="J7" s="36"/>
      <c r="N7" s="47" t="s">
        <v>81</v>
      </c>
      <c r="O7" s="1" t="s">
        <v>48</v>
      </c>
      <c r="P7" s="1">
        <v>18605319139</v>
      </c>
      <c r="Q7" s="23" t="s">
        <v>49</v>
      </c>
      <c r="R7" s="21"/>
      <c r="S7" s="53" t="s">
        <v>137</v>
      </c>
      <c r="T7" s="37" t="s">
        <v>396</v>
      </c>
      <c r="U7" s="50" t="s">
        <v>399</v>
      </c>
      <c r="V7" s="19" t="s">
        <v>398</v>
      </c>
      <c r="W7" s="19">
        <v>18980746446</v>
      </c>
      <c r="X7" s="23" t="s">
        <v>397</v>
      </c>
      <c r="Y7" s="19"/>
      <c r="Z7" s="68" t="s">
        <v>137</v>
      </c>
      <c r="AA7" s="37" t="s">
        <v>452</v>
      </c>
      <c r="AB7" s="19" t="s">
        <v>80</v>
      </c>
      <c r="AC7" s="19">
        <v>18782947519</v>
      </c>
      <c r="AD7" s="23" t="s">
        <v>177</v>
      </c>
      <c r="AE7" s="19"/>
      <c r="AF7" s="37" t="s">
        <v>192</v>
      </c>
      <c r="AG7" s="23" t="s">
        <v>400</v>
      </c>
      <c r="AH7" s="23" t="str">
        <f t="shared" si="6"/>
        <v>;pengmin@inspur.com;caomi@inspur.com;dumenglan@inspur.com</v>
      </c>
      <c r="AI7" s="35" t="s">
        <v>183</v>
      </c>
      <c r="AJ7" s="35" t="s">
        <v>183</v>
      </c>
      <c r="AK7" s="54" t="s">
        <v>137</v>
      </c>
      <c r="AL7" s="37"/>
      <c r="AM7" s="23"/>
      <c r="AN7" s="19"/>
      <c r="AO7" s="20"/>
      <c r="AP7" s="37"/>
      <c r="AQ7" s="19"/>
      <c r="AR7" s="19"/>
      <c r="AS7" s="19"/>
    </row>
    <row r="8" spans="1:45" ht="15.75" customHeight="1" x14ac:dyDescent="0.35">
      <c r="A8" s="18" t="str">
        <f t="shared" si="0"/>
        <v>weichy@inspur.com</v>
      </c>
      <c r="B8" s="18" t="str">
        <f t="shared" si="1"/>
        <v>zhangyongli@inspur.com;;suyj@inspur.com;;kangzp@inspur.com;tangjing@inspur.com;</v>
      </c>
      <c r="C8" s="19" t="str">
        <f t="shared" si="2"/>
        <v>云服务集团FY2016业务数据</v>
      </c>
      <c r="D8" s="20" t="str">
        <f t="shared" si="3"/>
        <v>魏总，
      您好! 附件为贵单位本财年CSG签单/回款数据、CSG业务揭示，请查阅。
            云服务集团市场部</v>
      </c>
      <c r="E8" s="56" t="str">
        <f t="shared" si="4"/>
        <v>F:\工作\3浪潮云服务\市场部\本次发送\工作表合并\河南区.xlsx</v>
      </c>
      <c r="F8" s="70" t="s">
        <v>370</v>
      </c>
      <c r="G8" s="30"/>
      <c r="H8" s="61" t="str">
        <f t="shared" si="5"/>
        <v/>
      </c>
      <c r="I8" s="61"/>
      <c r="J8" s="36"/>
      <c r="N8" s="46" t="s">
        <v>72</v>
      </c>
      <c r="O8" s="1" t="s">
        <v>58</v>
      </c>
      <c r="P8" s="1">
        <v>18866808217</v>
      </c>
      <c r="Q8" s="23" t="s">
        <v>59</v>
      </c>
      <c r="R8" s="21"/>
      <c r="S8" s="53" t="s">
        <v>136</v>
      </c>
      <c r="T8" s="37" t="s">
        <v>152</v>
      </c>
      <c r="U8" s="50" t="s">
        <v>277</v>
      </c>
      <c r="V8" s="19"/>
      <c r="W8" s="19">
        <v>13605319537</v>
      </c>
      <c r="X8" s="23" t="s">
        <v>168</v>
      </c>
      <c r="Y8" s="19"/>
      <c r="Z8" s="68" t="s">
        <v>136</v>
      </c>
      <c r="AA8" s="37" t="s">
        <v>454</v>
      </c>
      <c r="AB8" s="19" t="s">
        <v>73</v>
      </c>
      <c r="AC8" s="19">
        <v>13343823810</v>
      </c>
      <c r="AD8" s="23" t="s">
        <v>178</v>
      </c>
      <c r="AE8" s="19"/>
      <c r="AF8" s="37"/>
      <c r="AG8" s="23" t="s">
        <v>183</v>
      </c>
      <c r="AH8" s="23" t="str">
        <f t="shared" si="6"/>
        <v>;suyj@inspur.com;</v>
      </c>
      <c r="AI8" s="35" t="s">
        <v>183</v>
      </c>
      <c r="AJ8" s="35" t="s">
        <v>183</v>
      </c>
      <c r="AK8" s="54" t="s">
        <v>136</v>
      </c>
      <c r="AL8" s="37"/>
      <c r="AM8" s="23"/>
      <c r="AN8" s="19"/>
      <c r="AO8" s="20"/>
      <c r="AP8" s="37"/>
      <c r="AQ8" s="19"/>
      <c r="AR8" s="19"/>
      <c r="AS8" s="19"/>
    </row>
    <row r="9" spans="1:45" ht="15.75" customHeight="1" x14ac:dyDescent="0.35">
      <c r="A9" s="18" t="str">
        <f t="shared" si="0"/>
        <v>yangyang1@inspur.com</v>
      </c>
      <c r="B9" s="18" t="str">
        <f t="shared" si="1"/>
        <v>chenglm@inspur.com;;hongyuan@inspur.com;;kangzp@inspur.com;tangjing@inspur.com;</v>
      </c>
      <c r="C9" s="19" t="str">
        <f t="shared" si="2"/>
        <v>云服务集团FY2016业务数据</v>
      </c>
      <c r="D9" s="20" t="str">
        <f t="shared" si="3"/>
        <v>杨总，
      您好! 附件为贵单位本财年CSG签单/回款数据、CSG业务揭示，请查阅。
            云服务集团市场部</v>
      </c>
      <c r="E9" s="56" t="str">
        <f t="shared" si="4"/>
        <v>F:\工作\3浪潮云服务\市场部\本次发送\工作表合并\安徽区.xlsx</v>
      </c>
      <c r="F9" s="70" t="s">
        <v>371</v>
      </c>
      <c r="G9" s="30"/>
      <c r="H9" s="61" t="str">
        <f t="shared" si="5"/>
        <v/>
      </c>
      <c r="I9" s="61"/>
      <c r="J9" s="36"/>
      <c r="N9" s="46" t="s">
        <v>75</v>
      </c>
      <c r="O9" s="1" t="s">
        <v>10</v>
      </c>
      <c r="P9" s="1">
        <v>13349090001</v>
      </c>
      <c r="Q9" s="23" t="s">
        <v>11</v>
      </c>
      <c r="R9" s="21"/>
      <c r="S9" s="53" t="s">
        <v>135</v>
      </c>
      <c r="T9" s="37" t="s">
        <v>423</v>
      </c>
      <c r="U9" s="50" t="s">
        <v>316</v>
      </c>
      <c r="V9" s="19"/>
      <c r="W9" s="19">
        <v>18956068989</v>
      </c>
      <c r="X9" s="23" t="s">
        <v>425</v>
      </c>
      <c r="Y9" s="19"/>
      <c r="Z9" s="68" t="s">
        <v>135</v>
      </c>
      <c r="AA9" s="37" t="s">
        <v>457</v>
      </c>
      <c r="AB9" s="19" t="s">
        <v>66</v>
      </c>
      <c r="AC9" s="19">
        <v>15656054271</v>
      </c>
      <c r="AD9" s="23" t="s">
        <v>76</v>
      </c>
      <c r="AE9" s="19"/>
      <c r="AF9" s="37"/>
      <c r="AG9" s="23" t="s">
        <v>183</v>
      </c>
      <c r="AH9" s="23" t="str">
        <f t="shared" si="6"/>
        <v>;hongyuan@inspur.com;</v>
      </c>
      <c r="AI9" s="35" t="s">
        <v>183</v>
      </c>
      <c r="AJ9" s="35" t="s">
        <v>183</v>
      </c>
      <c r="AK9" s="54" t="s">
        <v>135</v>
      </c>
      <c r="AL9" s="37"/>
      <c r="AM9" s="23"/>
      <c r="AN9" s="19"/>
      <c r="AO9" s="20"/>
      <c r="AP9" s="37"/>
      <c r="AQ9" s="19"/>
      <c r="AR9" s="19"/>
      <c r="AS9" s="19"/>
    </row>
    <row r="10" spans="1:45" ht="15.75" customHeight="1" x14ac:dyDescent="0.35">
      <c r="A10" s="18" t="str">
        <f t="shared" si="0"/>
        <v>tuhua@inspur.com</v>
      </c>
      <c r="B10" s="18" t="str">
        <f t="shared" si="1"/>
        <v>hujun@inspur.com;;liuff@inspur.com;liaoc@inspur.com;kangzp@inspur.com;tangjing@inspur.com;</v>
      </c>
      <c r="C10" s="19" t="str">
        <f t="shared" si="2"/>
        <v>云服务集团FY2016业务数据</v>
      </c>
      <c r="D10" s="20" t="str">
        <f t="shared" si="3"/>
        <v>涂总，
      您好! 附件为贵单位本财年CSG签单/回款数据、CSG业务揭示，请查阅。
            云服务集团市场部</v>
      </c>
      <c r="E10" s="56" t="str">
        <f t="shared" si="4"/>
        <v>F:\工作\3浪潮云服务\市场部\本次发送\工作表合并\湖北区.xlsx</v>
      </c>
      <c r="F10" s="70" t="s">
        <v>372</v>
      </c>
      <c r="G10" s="30"/>
      <c r="H10" s="61" t="str">
        <f t="shared" si="5"/>
        <v/>
      </c>
      <c r="I10" s="61"/>
      <c r="J10" s="36"/>
      <c r="N10" s="46" t="s">
        <v>74</v>
      </c>
      <c r="O10" s="1" t="s">
        <v>26</v>
      </c>
      <c r="P10" s="1">
        <v>13387554488</v>
      </c>
      <c r="Q10" s="23" t="s">
        <v>27</v>
      </c>
      <c r="R10" s="21"/>
      <c r="S10" s="53" t="s">
        <v>134</v>
      </c>
      <c r="T10" s="37" t="s">
        <v>153</v>
      </c>
      <c r="U10" s="50" t="s">
        <v>278</v>
      </c>
      <c r="V10" s="19"/>
      <c r="W10" s="19">
        <v>18627079899</v>
      </c>
      <c r="X10" s="23" t="s">
        <v>306</v>
      </c>
      <c r="Y10" s="19"/>
      <c r="Z10" s="68" t="s">
        <v>134</v>
      </c>
      <c r="AA10" s="37" t="s">
        <v>459</v>
      </c>
      <c r="AB10" s="19" t="s">
        <v>73</v>
      </c>
      <c r="AC10" s="19">
        <v>18607145067</v>
      </c>
      <c r="AD10" s="23" t="s">
        <v>179</v>
      </c>
      <c r="AE10" s="19"/>
      <c r="AF10" s="37" t="s">
        <v>193</v>
      </c>
      <c r="AG10" s="23" t="s">
        <v>219</v>
      </c>
      <c r="AH10" s="23" t="str">
        <f t="shared" si="6"/>
        <v>;liuff@inspur.com;liaoc@inspur.com</v>
      </c>
      <c r="AI10" s="35" t="s">
        <v>183</v>
      </c>
      <c r="AJ10" s="35" t="s">
        <v>183</v>
      </c>
      <c r="AK10" s="54" t="s">
        <v>134</v>
      </c>
      <c r="AL10" s="37"/>
      <c r="AM10" s="23"/>
      <c r="AN10" s="19"/>
      <c r="AO10" s="20"/>
      <c r="AP10" s="37"/>
      <c r="AQ10" s="19"/>
      <c r="AR10" s="19"/>
      <c r="AS10" s="19"/>
    </row>
    <row r="11" spans="1:45" ht="15.75" customHeight="1" x14ac:dyDescent="0.35">
      <c r="A11" s="18" t="str">
        <f t="shared" si="0"/>
        <v>yanglei-sh@inspur.com</v>
      </c>
      <c r="B11" s="18" t="str">
        <f t="shared" si="1"/>
        <v>sunyzh@inspur.com;;zhangyingchao@inspur.com;;kangzp@inspur.com;tangjing@inspur.com;</v>
      </c>
      <c r="C11" s="19" t="str">
        <f t="shared" si="2"/>
        <v>云服务集团FY2016业务数据</v>
      </c>
      <c r="D11" s="20" t="str">
        <f t="shared" si="3"/>
        <v>杨总，
      您好! 附件为贵单位本财年CSG签单/回款数据、CSG业务揭示，请查阅。
            云服务集团市场部</v>
      </c>
      <c r="E11" s="56" t="str">
        <f t="shared" si="4"/>
        <v>F:\工作\3浪潮云服务\市场部\本次发送\工作表合并\上海区.xlsx</v>
      </c>
      <c r="F11" s="70" t="s">
        <v>373</v>
      </c>
      <c r="G11" s="30"/>
      <c r="H11" s="61" t="str">
        <f t="shared" si="5"/>
        <v/>
      </c>
      <c r="I11" s="61"/>
      <c r="J11" s="36"/>
      <c r="N11" s="46" t="s">
        <v>87</v>
      </c>
      <c r="O11" s="1" t="s">
        <v>46</v>
      </c>
      <c r="P11" s="1">
        <v>18660106708</v>
      </c>
      <c r="Q11" s="23" t="s">
        <v>47</v>
      </c>
      <c r="R11" s="21"/>
      <c r="S11" s="53" t="s">
        <v>133</v>
      </c>
      <c r="T11" s="37" t="s">
        <v>405</v>
      </c>
      <c r="U11" s="50" t="s">
        <v>316</v>
      </c>
      <c r="V11" s="19"/>
      <c r="W11" s="19">
        <v>13801950374</v>
      </c>
      <c r="X11" s="23" t="s">
        <v>404</v>
      </c>
      <c r="Y11" s="19"/>
      <c r="Z11" s="68" t="s">
        <v>133</v>
      </c>
      <c r="AA11" s="37" t="s">
        <v>461</v>
      </c>
      <c r="AB11" s="19" t="s">
        <v>66</v>
      </c>
      <c r="AC11" s="19">
        <v>13120582588</v>
      </c>
      <c r="AD11" s="23" t="s">
        <v>88</v>
      </c>
      <c r="AE11" s="19"/>
      <c r="AF11" s="37"/>
      <c r="AG11" s="23" t="s">
        <v>183</v>
      </c>
      <c r="AH11" s="23" t="str">
        <f t="shared" si="6"/>
        <v>;zhangyingchao@inspur.com;</v>
      </c>
      <c r="AI11" s="35" t="s">
        <v>183</v>
      </c>
      <c r="AJ11" s="35" t="s">
        <v>183</v>
      </c>
      <c r="AK11" s="54" t="s">
        <v>133</v>
      </c>
      <c r="AL11" s="37"/>
      <c r="AM11" s="23"/>
      <c r="AN11" s="19"/>
      <c r="AO11" s="20"/>
      <c r="AP11" s="37"/>
      <c r="AQ11" s="19"/>
      <c r="AR11" s="19"/>
      <c r="AS11" s="19"/>
    </row>
    <row r="12" spans="1:45" ht="15.75" customHeight="1" x14ac:dyDescent="0.35">
      <c r="A12" s="18" t="str">
        <f t="shared" si="0"/>
        <v>suiky@inspur.com</v>
      </c>
      <c r="B12" s="18" t="str">
        <f t="shared" si="1"/>
        <v>jilei@inspur.com;;guohui@inspur.com;wangmx@inspur.com;kangzp@inspur.com;tangjing@inspur.com;</v>
      </c>
      <c r="C12" s="19" t="str">
        <f t="shared" si="2"/>
        <v>云服务集团FY2016业务数据</v>
      </c>
      <c r="D12" s="20" t="str">
        <f t="shared" si="3"/>
        <v>隋总，
      您好! 附件为贵单位本财年CSG签单/回款数据、CSG业务揭示，请查阅。
            云服务集团市场部</v>
      </c>
      <c r="E12" s="56" t="str">
        <f t="shared" si="4"/>
        <v>F:\工作\3浪潮云服务\市场部\本次发送\工作表合并\山西区.xlsx</v>
      </c>
      <c r="F12" s="70" t="s">
        <v>374</v>
      </c>
      <c r="G12" s="30"/>
      <c r="H12" s="61" t="str">
        <f t="shared" si="5"/>
        <v/>
      </c>
      <c r="I12" s="61"/>
      <c r="J12" s="36"/>
      <c r="N12" s="46" t="s">
        <v>79</v>
      </c>
      <c r="O12" s="1" t="s">
        <v>42</v>
      </c>
      <c r="P12" s="1">
        <v>13853199927</v>
      </c>
      <c r="Q12" s="23" t="s">
        <v>43</v>
      </c>
      <c r="R12" s="21"/>
      <c r="S12" s="53" t="s">
        <v>132</v>
      </c>
      <c r="T12" s="37" t="s">
        <v>144</v>
      </c>
      <c r="U12" s="50" t="s">
        <v>279</v>
      </c>
      <c r="V12" s="19" t="s">
        <v>165</v>
      </c>
      <c r="W12" s="19">
        <v>18660177898</v>
      </c>
      <c r="X12" s="23" t="s">
        <v>145</v>
      </c>
      <c r="Y12" s="19"/>
      <c r="Z12" s="68" t="s">
        <v>132</v>
      </c>
      <c r="AA12" s="37" t="s">
        <v>463</v>
      </c>
      <c r="AB12" s="19" t="s">
        <v>80</v>
      </c>
      <c r="AC12" s="19">
        <v>13403450091</v>
      </c>
      <c r="AD12" s="23" t="s">
        <v>180</v>
      </c>
      <c r="AE12" s="19"/>
      <c r="AF12" s="37" t="s">
        <v>519</v>
      </c>
      <c r="AG12" s="23" t="s">
        <v>220</v>
      </c>
      <c r="AH12" s="23" t="str">
        <f t="shared" si="6"/>
        <v>;guohui@inspur.com;wangmx@inspur.com</v>
      </c>
      <c r="AI12" s="35" t="s">
        <v>183</v>
      </c>
      <c r="AJ12" s="35" t="s">
        <v>183</v>
      </c>
      <c r="AK12" s="54" t="s">
        <v>132</v>
      </c>
      <c r="AL12" s="37"/>
      <c r="AM12" s="23"/>
      <c r="AN12" s="19"/>
      <c r="AO12" s="20"/>
      <c r="AP12" s="37"/>
      <c r="AQ12" s="19"/>
      <c r="AR12" s="19"/>
      <c r="AS12" s="19"/>
    </row>
    <row r="13" spans="1:45" ht="15.75" customHeight="1" x14ac:dyDescent="0.35">
      <c r="A13" s="18" t="str">
        <f t="shared" si="0"/>
        <v>liuxinhb@inspur.com</v>
      </c>
      <c r="B13" s="18" t="str">
        <f t="shared" si="1"/>
        <v>lihengwei@inspur.com;ma-chao@inspur.com;YANG_LI@INSPUR.COM;;kangzp@inspur.com;tangjing@inspur.com;</v>
      </c>
      <c r="C13" s="19" t="str">
        <f t="shared" si="2"/>
        <v>云服务集团FY2016业务数据</v>
      </c>
      <c r="D13" s="20" t="str">
        <f t="shared" si="3"/>
        <v>刘总，
      您好! 附件为贵单位本财年CSG签单/回款数据、CSG业务揭示，请查阅。
            云服务集团市场部</v>
      </c>
      <c r="E13" s="56" t="str">
        <f t="shared" si="4"/>
        <v>F:\工作\3浪潮云服务\市场部\本次发送\工作表合并\河北区.xlsx</v>
      </c>
      <c r="F13" s="70" t="s">
        <v>375</v>
      </c>
      <c r="G13" s="30"/>
      <c r="H13" s="61" t="str">
        <f t="shared" si="5"/>
        <v/>
      </c>
      <c r="I13" s="61"/>
      <c r="J13" s="36"/>
      <c r="N13" s="46" t="s">
        <v>83</v>
      </c>
      <c r="O13" s="1" t="s">
        <v>22</v>
      </c>
      <c r="P13" s="1">
        <v>18905311600</v>
      </c>
      <c r="Q13" s="23" t="s">
        <v>23</v>
      </c>
      <c r="R13" s="21"/>
      <c r="S13" s="53" t="s">
        <v>131</v>
      </c>
      <c r="T13" s="37" t="s">
        <v>324</v>
      </c>
      <c r="U13" s="50" t="s">
        <v>320</v>
      </c>
      <c r="V13" s="19" t="s">
        <v>165</v>
      </c>
      <c r="W13" s="19">
        <v>15081813555</v>
      </c>
      <c r="X13" s="23" t="s">
        <v>323</v>
      </c>
      <c r="Y13" s="19" t="s">
        <v>256</v>
      </c>
      <c r="Z13" s="68" t="s">
        <v>131</v>
      </c>
      <c r="AA13" s="37" t="s">
        <v>465</v>
      </c>
      <c r="AB13" s="19" t="s">
        <v>66</v>
      </c>
      <c r="AC13" s="19">
        <v>13931890995</v>
      </c>
      <c r="AD13" s="23" t="s">
        <v>181</v>
      </c>
      <c r="AE13" s="19"/>
      <c r="AF13" s="37"/>
      <c r="AG13" s="23" t="s">
        <v>183</v>
      </c>
      <c r="AH13" s="23" t="str">
        <f t="shared" si="6"/>
        <v>ma-chao@inspur.com;YANG_LI@INSPUR.COM;</v>
      </c>
      <c r="AI13" s="35" t="s">
        <v>183</v>
      </c>
      <c r="AJ13" s="35" t="s">
        <v>183</v>
      </c>
      <c r="AK13" s="54" t="s">
        <v>131</v>
      </c>
      <c r="AL13" s="37" t="s">
        <v>321</v>
      </c>
      <c r="AM13" s="23" t="s">
        <v>169</v>
      </c>
      <c r="AN13" s="19" t="s">
        <v>322</v>
      </c>
      <c r="AO13" s="20">
        <v>15165106999</v>
      </c>
      <c r="AP13" s="37"/>
      <c r="AQ13" s="19"/>
      <c r="AR13" s="19"/>
      <c r="AS13" s="19"/>
    </row>
    <row r="14" spans="1:45" ht="15.75" customHeight="1" x14ac:dyDescent="0.35">
      <c r="A14" s="18" t="str">
        <f t="shared" si="0"/>
        <v>maoxy@inspur.com</v>
      </c>
      <c r="B14" s="18" t="str">
        <f t="shared" si="1"/>
        <v>caojiangyang@inspur.com;;guojiao@inspur.com;;kangzp@inspur.com;tangjing@inspur.com;</v>
      </c>
      <c r="C14" s="19" t="str">
        <f t="shared" si="2"/>
        <v>云服务集团FY2016业务数据</v>
      </c>
      <c r="D14" s="20" t="str">
        <f t="shared" si="3"/>
        <v>毛总，
      您好! 附件为贵单位本财年CSG签单/回款数据、CSG业务揭示，请查阅。
            云服务集团市场部</v>
      </c>
      <c r="E14" s="56" t="str">
        <f t="shared" si="4"/>
        <v>F:\工作\3浪潮云服务\市场部\本次发送\工作表合并\陕西区.xlsx</v>
      </c>
      <c r="F14" s="70" t="s">
        <v>376</v>
      </c>
      <c r="G14" s="30"/>
      <c r="H14" s="61" t="str">
        <f t="shared" si="5"/>
        <v/>
      </c>
      <c r="I14" s="61"/>
      <c r="J14" s="36"/>
      <c r="N14" s="46" t="s">
        <v>85</v>
      </c>
      <c r="O14" s="1" t="s">
        <v>44</v>
      </c>
      <c r="P14" s="1">
        <v>18601239369</v>
      </c>
      <c r="Q14" s="23" t="s">
        <v>45</v>
      </c>
      <c r="R14" s="21"/>
      <c r="S14" s="53" t="s">
        <v>130</v>
      </c>
      <c r="T14" s="37" t="s">
        <v>146</v>
      </c>
      <c r="U14" s="50" t="s">
        <v>280</v>
      </c>
      <c r="V14" s="19" t="s">
        <v>143</v>
      </c>
      <c r="W14" s="19">
        <v>18629028288</v>
      </c>
      <c r="X14" s="23" t="s">
        <v>170</v>
      </c>
      <c r="Y14" s="19"/>
      <c r="Z14" s="68" t="s">
        <v>130</v>
      </c>
      <c r="AA14" s="37" t="s">
        <v>467</v>
      </c>
      <c r="AB14" s="19" t="s">
        <v>66</v>
      </c>
      <c r="AC14" s="19">
        <v>13709128742</v>
      </c>
      <c r="AD14" s="23" t="s">
        <v>86</v>
      </c>
      <c r="AE14" s="19"/>
      <c r="AF14" s="37"/>
      <c r="AG14" s="23" t="s">
        <v>183</v>
      </c>
      <c r="AH14" s="23" t="str">
        <f t="shared" si="6"/>
        <v>;guojiao@inspur.com;</v>
      </c>
      <c r="AI14" s="35" t="s">
        <v>183</v>
      </c>
      <c r="AJ14" s="35" t="s">
        <v>183</v>
      </c>
      <c r="AK14" s="54" t="s">
        <v>130</v>
      </c>
      <c r="AL14" s="37"/>
      <c r="AM14" s="23"/>
      <c r="AN14" s="19"/>
      <c r="AO14" s="20"/>
      <c r="AP14" s="37"/>
      <c r="AQ14" s="19"/>
      <c r="AR14" s="19"/>
      <c r="AS14" s="19"/>
    </row>
    <row r="15" spans="1:45" ht="15.75" customHeight="1" x14ac:dyDescent="0.35">
      <c r="A15" s="18" t="str">
        <f t="shared" si="0"/>
        <v>liyu@inspur.com</v>
      </c>
      <c r="B15" s="18" t="str">
        <f t="shared" si="1"/>
        <v>zhangdch@inspur.com;baoqh@inspur.com;gaozhenqi@inspur.com;;kangzp@inspur.com;tangjing@inspur.com;</v>
      </c>
      <c r="C15" s="19" t="str">
        <f t="shared" si="2"/>
        <v>云服务集团FY2016业务数据</v>
      </c>
      <c r="D15" s="20" t="str">
        <f t="shared" si="3"/>
        <v>李总，
      您好! 附件为贵单位本财年CSG签单/回款数据、CSG业务揭示，请查阅。
            云服务集团市场部</v>
      </c>
      <c r="E15" s="56" t="str">
        <f t="shared" si="4"/>
        <v>F:\工作\3浪潮云服务\市场部\本次发送\工作表合并\黑龙江区.xlsx</v>
      </c>
      <c r="F15" s="70" t="s">
        <v>377</v>
      </c>
      <c r="G15" s="30"/>
      <c r="H15" s="61" t="str">
        <f t="shared" si="5"/>
        <v/>
      </c>
      <c r="I15" s="61"/>
      <c r="J15" s="36"/>
      <c r="N15" s="46" t="s">
        <v>84</v>
      </c>
      <c r="O15" s="1" t="s">
        <v>24</v>
      </c>
      <c r="P15" s="1">
        <v>13384517868</v>
      </c>
      <c r="Q15" s="23" t="s">
        <v>25</v>
      </c>
      <c r="R15" s="21"/>
      <c r="S15" s="53" t="s">
        <v>129</v>
      </c>
      <c r="T15" s="37" t="s">
        <v>346</v>
      </c>
      <c r="U15" s="50" t="s">
        <v>303</v>
      </c>
      <c r="V15" s="19" t="s">
        <v>302</v>
      </c>
      <c r="W15" s="19">
        <v>13940374567</v>
      </c>
      <c r="X15" s="23" t="s">
        <v>307</v>
      </c>
      <c r="Y15" s="19"/>
      <c r="Z15" s="68" t="s">
        <v>129</v>
      </c>
      <c r="AA15" s="37" t="s">
        <v>469</v>
      </c>
      <c r="AB15" s="19" t="s">
        <v>66</v>
      </c>
      <c r="AC15" s="19"/>
      <c r="AD15" s="23" t="s">
        <v>342</v>
      </c>
      <c r="AE15" s="19"/>
      <c r="AF15" s="37"/>
      <c r="AG15" s="23" t="s">
        <v>183</v>
      </c>
      <c r="AH15" s="23" t="str">
        <f t="shared" si="6"/>
        <v>baoqh@inspur.com;gaozhenqi@inspur.com;</v>
      </c>
      <c r="AI15" s="35" t="s">
        <v>183</v>
      </c>
      <c r="AJ15" s="35" t="s">
        <v>183</v>
      </c>
      <c r="AK15" s="54" t="s">
        <v>129</v>
      </c>
      <c r="AL15" s="37" t="s">
        <v>349</v>
      </c>
      <c r="AM15" s="23" t="s">
        <v>348</v>
      </c>
      <c r="AN15" s="19" t="s">
        <v>350</v>
      </c>
      <c r="AO15" s="20"/>
      <c r="AP15" s="37"/>
      <c r="AQ15" s="19"/>
      <c r="AR15" s="19"/>
      <c r="AS15" s="19"/>
    </row>
    <row r="16" spans="1:45" ht="15.75" customHeight="1" x14ac:dyDescent="0.35">
      <c r="A16" s="18" t="str">
        <f t="shared" si="0"/>
        <v>longqi@inspur.com</v>
      </c>
      <c r="B16" s="18" t="str">
        <f t="shared" si="1"/>
        <v>hanchx@inspur.com;;huyj@inspur.com;;kangzp@inspur.com;tangjing@inspur.com;</v>
      </c>
      <c r="C16" s="19" t="str">
        <f t="shared" si="2"/>
        <v>云服务集团FY2016业务数据</v>
      </c>
      <c r="D16" s="20" t="str">
        <f t="shared" si="3"/>
        <v>龙总，
      您好! 附件为贵单位本财年CSG签单/回款数据、CSG业务揭示，请查阅。
            云服务集团市场部</v>
      </c>
      <c r="E16" s="56" t="str">
        <f t="shared" si="4"/>
        <v>F:\工作\3浪潮云服务\市场部\本次发送\工作表合并\湖南区.xlsx</v>
      </c>
      <c r="F16" s="70" t="s">
        <v>378</v>
      </c>
      <c r="G16" s="30"/>
      <c r="H16" s="61" t="str">
        <f t="shared" si="5"/>
        <v/>
      </c>
      <c r="I16" s="61"/>
      <c r="J16" s="36"/>
      <c r="N16" s="46" t="s">
        <v>96</v>
      </c>
      <c r="O16" s="1" t="s">
        <v>28</v>
      </c>
      <c r="P16" s="1">
        <v>13974880009</v>
      </c>
      <c r="Q16" s="23" t="s">
        <v>29</v>
      </c>
      <c r="R16" s="21"/>
      <c r="S16" s="53" t="s">
        <v>128</v>
      </c>
      <c r="T16" s="37" t="s">
        <v>347</v>
      </c>
      <c r="U16" s="50" t="s">
        <v>343</v>
      </c>
      <c r="V16" s="19" t="s">
        <v>165</v>
      </c>
      <c r="W16" s="19">
        <v>13574889880</v>
      </c>
      <c r="X16" s="23" t="s">
        <v>344</v>
      </c>
      <c r="Y16" s="19"/>
      <c r="Z16" s="68" t="s">
        <v>128</v>
      </c>
      <c r="AA16" s="37" t="s">
        <v>471</v>
      </c>
      <c r="AB16" s="19" t="s">
        <v>68</v>
      </c>
      <c r="AC16" s="19">
        <v>13319531009</v>
      </c>
      <c r="AD16" s="23" t="s">
        <v>97</v>
      </c>
      <c r="AE16" s="19"/>
      <c r="AF16" s="37"/>
      <c r="AG16" s="23" t="s">
        <v>183</v>
      </c>
      <c r="AH16" s="23" t="str">
        <f t="shared" si="6"/>
        <v>;huyj@inspur.com;</v>
      </c>
      <c r="AI16" s="35" t="s">
        <v>183</v>
      </c>
      <c r="AJ16" s="35" t="s">
        <v>183</v>
      </c>
      <c r="AK16" s="54" t="s">
        <v>128</v>
      </c>
      <c r="AL16" s="37"/>
      <c r="AM16" s="23"/>
      <c r="AN16" s="19"/>
      <c r="AO16" s="20"/>
      <c r="AP16" s="37"/>
      <c r="AQ16" s="19"/>
      <c r="AR16" s="19"/>
      <c r="AS16" s="19"/>
    </row>
    <row r="17" spans="1:45" ht="15.75" customHeight="1" x14ac:dyDescent="0.35">
      <c r="A17" s="18" t="str">
        <f t="shared" si="0"/>
        <v>chengt@inspur.com</v>
      </c>
      <c r="B17" s="18" t="str">
        <f t="shared" si="1"/>
        <v>xuguobin@inspur.com;;zhuyl@inspur.com;wangyanling@inspur.com;kangzp@inspur.com;tangjing@inspur.com;</v>
      </c>
      <c r="C17" s="19" t="str">
        <f t="shared" si="2"/>
        <v>云服务集团FY2016业务数据</v>
      </c>
      <c r="D17" s="20" t="str">
        <f t="shared" si="3"/>
        <v>陈总，
      您好! 附件为贵单位本财年CSG签单/回款数据、CSG业务揭示，请查阅。
            云服务集团市场部</v>
      </c>
      <c r="E17" s="56" t="str">
        <f t="shared" si="4"/>
        <v>F:\工作\3浪潮云服务\市场部\本次发送\工作表合并\甘肃区.xlsx</v>
      </c>
      <c r="F17" s="70" t="s">
        <v>379</v>
      </c>
      <c r="G17" s="30"/>
      <c r="H17" s="61" t="str">
        <f t="shared" si="5"/>
        <v/>
      </c>
      <c r="I17" s="61"/>
      <c r="J17" s="36"/>
      <c r="N17" s="46" t="s">
        <v>77</v>
      </c>
      <c r="O17" s="1" t="s">
        <v>351</v>
      </c>
      <c r="P17" s="1"/>
      <c r="Q17" s="23" t="s">
        <v>352</v>
      </c>
      <c r="R17" s="21"/>
      <c r="S17" s="53" t="s">
        <v>127</v>
      </c>
      <c r="T17" s="37" t="s">
        <v>297</v>
      </c>
      <c r="U17" s="50" t="s">
        <v>298</v>
      </c>
      <c r="V17" s="19"/>
      <c r="W17" s="19">
        <v>13893365226</v>
      </c>
      <c r="X17" s="23" t="s">
        <v>296</v>
      </c>
      <c r="Y17" s="19"/>
      <c r="Z17" s="68" t="s">
        <v>127</v>
      </c>
      <c r="AA17" s="37" t="s">
        <v>473</v>
      </c>
      <c r="AB17" s="19" t="s">
        <v>73</v>
      </c>
      <c r="AC17" s="19">
        <v>13893678177</v>
      </c>
      <c r="AD17" s="23" t="s">
        <v>78</v>
      </c>
      <c r="AE17" s="19"/>
      <c r="AF17" s="37" t="s">
        <v>520</v>
      </c>
      <c r="AG17" s="23" t="s">
        <v>221</v>
      </c>
      <c r="AH17" s="23" t="str">
        <f t="shared" si="6"/>
        <v>;zhuyl@inspur.com;wangyanling@inspur.com</v>
      </c>
      <c r="AI17" s="35" t="s">
        <v>183</v>
      </c>
      <c r="AJ17" s="35" t="s">
        <v>183</v>
      </c>
      <c r="AK17" s="54" t="s">
        <v>127</v>
      </c>
      <c r="AL17" s="37"/>
      <c r="AM17" s="23"/>
      <c r="AN17" s="19"/>
      <c r="AO17" s="20"/>
      <c r="AP17" s="37"/>
      <c r="AQ17" s="19"/>
      <c r="AR17" s="19"/>
      <c r="AS17" s="19"/>
    </row>
    <row r="18" spans="1:45" ht="15.75" customHeight="1" x14ac:dyDescent="0.35">
      <c r="A18" s="18" t="str">
        <f t="shared" si="0"/>
        <v>raosm@inspur.com</v>
      </c>
      <c r="B18" s="18" t="str">
        <f t="shared" si="1"/>
        <v>xujd@inspur.com;;suting@inspur.com;;kangzp@inspur.com;tangjing@inspur.com;</v>
      </c>
      <c r="C18" s="19" t="str">
        <f t="shared" si="2"/>
        <v>云服务集团FY2016业务数据</v>
      </c>
      <c r="D18" s="20" t="str">
        <f t="shared" si="3"/>
        <v>饶总，
      您好! 附件为贵单位本财年CSG签单/回款数据、CSG业务揭示，请查阅。
            云服务集团市场部</v>
      </c>
      <c r="E18" s="56" t="str">
        <f t="shared" si="4"/>
        <v>F:\工作\3浪潮云服务\市场部\本次发送\工作表合并\江西区.xlsx</v>
      </c>
      <c r="F18" s="70" t="s">
        <v>380</v>
      </c>
      <c r="G18" s="30"/>
      <c r="H18" s="61" t="str">
        <f t="shared" si="5"/>
        <v/>
      </c>
      <c r="I18" s="61"/>
      <c r="J18" s="36"/>
      <c r="N18" s="46" t="s">
        <v>82</v>
      </c>
      <c r="O18" s="1" t="s">
        <v>60</v>
      </c>
      <c r="P18" s="1">
        <v>13911059500</v>
      </c>
      <c r="Q18" s="23" t="s">
        <v>61</v>
      </c>
      <c r="R18" s="21"/>
      <c r="S18" s="53" t="s">
        <v>126</v>
      </c>
      <c r="T18" s="37" t="s">
        <v>358</v>
      </c>
      <c r="U18" s="50" t="s">
        <v>359</v>
      </c>
      <c r="V18" s="19"/>
      <c r="W18" s="19">
        <v>13307913066</v>
      </c>
      <c r="X18" s="23" t="s">
        <v>360</v>
      </c>
      <c r="Y18" s="19"/>
      <c r="Z18" s="68" t="s">
        <v>126</v>
      </c>
      <c r="AA18" s="37" t="s">
        <v>475</v>
      </c>
      <c r="AB18" s="19" t="s">
        <v>66</v>
      </c>
      <c r="AC18" s="19">
        <v>18679171137</v>
      </c>
      <c r="AD18" s="23" t="s">
        <v>182</v>
      </c>
      <c r="AE18" s="19"/>
      <c r="AF18" s="37"/>
      <c r="AG18" s="23" t="s">
        <v>183</v>
      </c>
      <c r="AH18" s="23" t="str">
        <f t="shared" si="6"/>
        <v>;suting@inspur.com;</v>
      </c>
      <c r="AI18" s="35" t="s">
        <v>183</v>
      </c>
      <c r="AJ18" s="35" t="s">
        <v>183</v>
      </c>
      <c r="AK18" s="54" t="s">
        <v>126</v>
      </c>
      <c r="AL18" s="37"/>
      <c r="AM18" s="23"/>
      <c r="AN18" s="19"/>
      <c r="AO18" s="20"/>
      <c r="AP18" s="37"/>
      <c r="AQ18" s="19"/>
      <c r="AR18" s="19"/>
      <c r="AS18" s="19"/>
    </row>
    <row r="19" spans="1:45" ht="16.5" customHeight="1" x14ac:dyDescent="0.35">
      <c r="A19" s="18" t="str">
        <f t="shared" si="0"/>
        <v>zhigh@inspur.com</v>
      </c>
      <c r="B19" s="18" t="str">
        <f t="shared" si="1"/>
        <v>sunqch@inspur.com;;panjie@inspur.com;wangmiaom@inspur.com;wangmiaom@inspur.com;kangzp@inspur.com;tangjing@inspur.com;</v>
      </c>
      <c r="C19" s="19" t="str">
        <f t="shared" si="2"/>
        <v>云服务集团FY2016业务数据</v>
      </c>
      <c r="D19" s="20" t="str">
        <f t="shared" si="3"/>
        <v>智总，
      您好! 附件为贵单位本财年CSG签单/回款数据、CSG业务揭示，请查阅。
            云服务集团市场部</v>
      </c>
      <c r="E19" s="56" t="str">
        <f t="shared" si="4"/>
        <v>F:\工作\3浪潮云服务\市场部\本次发送\工作表合并\天津区.xlsx</v>
      </c>
      <c r="F19" s="70" t="s">
        <v>381</v>
      </c>
      <c r="G19" s="30"/>
      <c r="H19" s="61" t="str">
        <f t="shared" si="5"/>
        <v/>
      </c>
      <c r="I19" s="61"/>
      <c r="J19" s="36"/>
      <c r="N19" s="48" t="s">
        <v>115</v>
      </c>
      <c r="O19" s="1" t="s">
        <v>417</v>
      </c>
      <c r="P19" s="1"/>
      <c r="Q19" s="23" t="s">
        <v>418</v>
      </c>
      <c r="R19" s="21"/>
      <c r="S19" s="53" t="s">
        <v>116</v>
      </c>
      <c r="T19" s="37" t="s">
        <v>330</v>
      </c>
      <c r="U19" s="50" t="s">
        <v>332</v>
      </c>
      <c r="V19" s="19" t="s">
        <v>331</v>
      </c>
      <c r="W19" s="19">
        <v>18502281735</v>
      </c>
      <c r="X19" s="23" t="s">
        <v>361</v>
      </c>
      <c r="Y19" s="19"/>
      <c r="Z19" s="68" t="s">
        <v>116</v>
      </c>
      <c r="AA19" s="37" t="s">
        <v>477</v>
      </c>
      <c r="AB19" s="19" t="s">
        <v>160</v>
      </c>
      <c r="AC19" s="19" t="s">
        <v>161</v>
      </c>
      <c r="AD19" s="23" t="s">
        <v>162</v>
      </c>
      <c r="AE19" s="19"/>
      <c r="AF19" s="37" t="s">
        <v>521</v>
      </c>
      <c r="AG19" s="23" t="s">
        <v>222</v>
      </c>
      <c r="AH19" s="23" t="str">
        <f t="shared" si="6"/>
        <v>;panjie@inspur.com;wangmiaom@inspur.com;wangmiaom@inspur.com</v>
      </c>
      <c r="AI19" s="35" t="s">
        <v>183</v>
      </c>
      <c r="AJ19" s="35" t="s">
        <v>183</v>
      </c>
      <c r="AK19" s="54" t="s">
        <v>116</v>
      </c>
      <c r="AL19" s="37"/>
      <c r="AM19" s="23"/>
      <c r="AN19" s="19"/>
      <c r="AO19" s="20"/>
      <c r="AP19" s="37"/>
      <c r="AQ19" s="19"/>
      <c r="AR19" s="19"/>
      <c r="AS19" s="19"/>
    </row>
    <row r="20" spans="1:45" ht="15.75" customHeight="1" x14ac:dyDescent="0.35">
      <c r="A20" s="18" t="str">
        <f t="shared" si="0"/>
        <v>yourui@inspur.com</v>
      </c>
      <c r="B20" s="18" t="str">
        <f t="shared" si="1"/>
        <v>gongmx@inspur.com;chenweinm@inspur.com;dingjiao@inspur.com;;kangzp@inspur.com;tangjing@inspur.com;</v>
      </c>
      <c r="C20" s="19" t="str">
        <f t="shared" si="2"/>
        <v>云服务集团FY2016业务数据</v>
      </c>
      <c r="D20" s="20" t="str">
        <f t="shared" si="3"/>
        <v>尤总，
      您好! 附件为贵单位本财年CSG签单/回款数据、CSG业务揭示，请查阅。
            云服务集团市场部</v>
      </c>
      <c r="E20" s="56" t="str">
        <f t="shared" si="4"/>
        <v>F:\工作\3浪潮云服务\市场部\本次发送\工作表合并\内蒙古区.xlsx</v>
      </c>
      <c r="F20" s="70" t="s">
        <v>382</v>
      </c>
      <c r="G20" s="30"/>
      <c r="H20" s="61" t="str">
        <f t="shared" si="5"/>
        <v/>
      </c>
      <c r="I20" s="61"/>
      <c r="J20" s="36"/>
      <c r="N20" s="46" t="s">
        <v>205</v>
      </c>
      <c r="O20" s="1" t="s">
        <v>36</v>
      </c>
      <c r="P20" s="1">
        <v>18600280588</v>
      </c>
      <c r="Q20" s="23" t="s">
        <v>37</v>
      </c>
      <c r="R20" s="21"/>
      <c r="S20" s="53" t="s">
        <v>117</v>
      </c>
      <c r="T20" s="37" t="s">
        <v>429</v>
      </c>
      <c r="U20" s="50" t="s">
        <v>430</v>
      </c>
      <c r="V20" s="19"/>
      <c r="W20" s="19">
        <v>18654528866</v>
      </c>
      <c r="X20" s="23" t="s">
        <v>431</v>
      </c>
      <c r="Y20" s="19"/>
      <c r="Z20" s="68" t="s">
        <v>117</v>
      </c>
      <c r="AA20" s="37" t="s">
        <v>479</v>
      </c>
      <c r="AB20" s="19" t="s">
        <v>66</v>
      </c>
      <c r="AC20" s="19">
        <v>15849339290</v>
      </c>
      <c r="AD20" s="23" t="s">
        <v>91</v>
      </c>
      <c r="AE20" s="19"/>
      <c r="AF20" s="37"/>
      <c r="AG20" s="23" t="s">
        <v>183</v>
      </c>
      <c r="AH20" s="23" t="str">
        <f t="shared" si="6"/>
        <v>chenweinm@inspur.com;dingjiao@inspur.com;</v>
      </c>
      <c r="AI20" s="35" t="s">
        <v>183</v>
      </c>
      <c r="AJ20" s="35" t="s">
        <v>183</v>
      </c>
      <c r="AK20" s="54" t="s">
        <v>117</v>
      </c>
      <c r="AL20" s="37" t="s">
        <v>333</v>
      </c>
      <c r="AM20" s="23" t="s">
        <v>187</v>
      </c>
      <c r="AN20" s="19"/>
      <c r="AO20" s="20">
        <v>13015020567</v>
      </c>
      <c r="AP20" s="37"/>
      <c r="AQ20" s="19"/>
      <c r="AR20" s="19"/>
      <c r="AS20" s="19"/>
    </row>
    <row r="21" spans="1:45" ht="15.75" customHeight="1" x14ac:dyDescent="0.35">
      <c r="A21" s="18" t="str">
        <f t="shared" si="0"/>
        <v>guohong@inspur.com</v>
      </c>
      <c r="B21" s="18" t="str">
        <f t="shared" si="1"/>
        <v>songrx@inspur.com;;dongjh@inspur.com;;kangzp@inspur.com;tangjing@inspur.com;</v>
      </c>
      <c r="C21" s="19" t="str">
        <f t="shared" si="2"/>
        <v>云服务集团FY2016业务数据</v>
      </c>
      <c r="D21" s="20" t="str">
        <f t="shared" si="3"/>
        <v>郭总，
      您好! 附件为贵单位本财年CSG签单/回款数据、CSG业务揭示，请查阅。
            云服务集团市场部</v>
      </c>
      <c r="E21" s="56" t="str">
        <f t="shared" si="4"/>
        <v>F:\工作\3浪潮云服务\市场部\本次发送\工作表合并\辽宁区.xlsx</v>
      </c>
      <c r="F21" s="70" t="s">
        <v>383</v>
      </c>
      <c r="G21" s="30"/>
      <c r="H21" s="61" t="str">
        <f t="shared" si="5"/>
        <v/>
      </c>
      <c r="I21" s="61"/>
      <c r="J21" s="36"/>
      <c r="N21" s="48" t="s">
        <v>94</v>
      </c>
      <c r="O21" s="1" t="s">
        <v>34</v>
      </c>
      <c r="P21" s="1">
        <v>13335153718</v>
      </c>
      <c r="Q21" s="23" t="s">
        <v>35</v>
      </c>
      <c r="R21" s="21"/>
      <c r="S21" s="53" t="s">
        <v>125</v>
      </c>
      <c r="T21" s="37" t="s">
        <v>154</v>
      </c>
      <c r="U21" s="50" t="s">
        <v>282</v>
      </c>
      <c r="V21" s="19" t="s">
        <v>165</v>
      </c>
      <c r="W21" s="19">
        <v>13940536289</v>
      </c>
      <c r="X21" s="23" t="s">
        <v>334</v>
      </c>
      <c r="Y21" s="19"/>
      <c r="Z21" s="68" t="s">
        <v>125</v>
      </c>
      <c r="AA21" s="37" t="s">
        <v>481</v>
      </c>
      <c r="AB21" s="19" t="s">
        <v>66</v>
      </c>
      <c r="AC21" s="19">
        <v>18640244788</v>
      </c>
      <c r="AD21" s="23" t="s">
        <v>95</v>
      </c>
      <c r="AE21" s="19"/>
      <c r="AF21" s="37"/>
      <c r="AG21" s="23" t="s">
        <v>183</v>
      </c>
      <c r="AH21" s="23" t="str">
        <f t="shared" si="6"/>
        <v>;dongjh@inspur.com;</v>
      </c>
      <c r="AI21" s="35" t="s">
        <v>183</v>
      </c>
      <c r="AJ21" s="35" t="s">
        <v>183</v>
      </c>
      <c r="AK21" s="54" t="s">
        <v>125</v>
      </c>
      <c r="AL21" s="37"/>
      <c r="AM21" s="23"/>
      <c r="AN21" s="19"/>
      <c r="AO21" s="20"/>
      <c r="AP21" s="37"/>
      <c r="AQ21" s="19"/>
      <c r="AR21" s="19"/>
      <c r="AS21" s="19"/>
    </row>
    <row r="22" spans="1:45" ht="15.75" customHeight="1" x14ac:dyDescent="0.35">
      <c r="A22" s="18" t="str">
        <f t="shared" si="0"/>
        <v>tanhb@inspur.com</v>
      </c>
      <c r="B22" s="18" t="str">
        <f t="shared" si="1"/>
        <v>sunqd@inspur.com;tanhb@inspur.com;wengxl@inspur.com;zhanglinfj@inspur.com;kangzp@inspur.com;tangjing@inspur.com;</v>
      </c>
      <c r="C22" s="19" t="str">
        <f t="shared" si="2"/>
        <v>云服务集团FY2016业务数据</v>
      </c>
      <c r="D22" s="20" t="str">
        <f t="shared" si="3"/>
        <v>谈总，
      您好! 附件为贵单位本财年CSG签单/回款数据、CSG业务揭示，请查阅。
            云服务集团市场部</v>
      </c>
      <c r="E22" s="56" t="str">
        <f t="shared" si="4"/>
        <v>F:\工作\3浪潮云服务\市场部\本次发送\工作表合并\福建区.xlsx</v>
      </c>
      <c r="F22" s="70" t="s">
        <v>384</v>
      </c>
      <c r="G22" s="30"/>
      <c r="H22" s="61" t="str">
        <f t="shared" si="5"/>
        <v/>
      </c>
      <c r="I22" s="61"/>
      <c r="J22" s="36"/>
      <c r="N22" s="48" t="s">
        <v>100</v>
      </c>
      <c r="O22" s="1" t="s">
        <v>56</v>
      </c>
      <c r="P22" s="1">
        <v>15806679158</v>
      </c>
      <c r="Q22" s="23" t="s">
        <v>57</v>
      </c>
      <c r="R22" s="21"/>
      <c r="S22" s="53" t="s">
        <v>124</v>
      </c>
      <c r="T22" s="37" t="s">
        <v>261</v>
      </c>
      <c r="U22" s="50" t="s">
        <v>363</v>
      </c>
      <c r="V22" s="19" t="s">
        <v>165</v>
      </c>
      <c r="W22" s="19">
        <v>13850101878</v>
      </c>
      <c r="X22" s="23" t="s">
        <v>364</v>
      </c>
      <c r="Y22" s="19"/>
      <c r="Z22" s="68" t="s">
        <v>124</v>
      </c>
      <c r="AA22" s="37" t="s">
        <v>483</v>
      </c>
      <c r="AB22" s="65" t="s">
        <v>183</v>
      </c>
      <c r="AC22" s="19"/>
      <c r="AD22" s="23" t="s">
        <v>329</v>
      </c>
      <c r="AE22" s="19"/>
      <c r="AF22" s="37" t="s">
        <v>209</v>
      </c>
      <c r="AG22" s="23" t="s">
        <v>223</v>
      </c>
      <c r="AH22" s="23" t="str">
        <f>AM22&amp;";"&amp;AD22&amp;";"&amp;AG22</f>
        <v>tanhb@inspur.com;wengxl@inspur.com;zhanglinfj@inspur.com</v>
      </c>
      <c r="AI22" s="35" t="s">
        <v>183</v>
      </c>
      <c r="AJ22" s="35" t="s">
        <v>183</v>
      </c>
      <c r="AK22" s="54" t="s">
        <v>124</v>
      </c>
      <c r="AL22" s="37" t="s">
        <v>261</v>
      </c>
      <c r="AM22" s="23" t="s">
        <v>266</v>
      </c>
      <c r="AN22" s="19" t="s">
        <v>263</v>
      </c>
      <c r="AO22" s="20"/>
      <c r="AP22" s="37" t="s">
        <v>328</v>
      </c>
      <c r="AQ22" s="19" t="s">
        <v>66</v>
      </c>
      <c r="AR22" s="19">
        <v>15059157761</v>
      </c>
      <c r="AS22" s="19" t="s">
        <v>101</v>
      </c>
    </row>
    <row r="23" spans="1:45" ht="15.75" customHeight="1" x14ac:dyDescent="0.35">
      <c r="A23" s="18" t="str">
        <f t="shared" si="0"/>
        <v>loupeng@inspur.com</v>
      </c>
      <c r="B23" s="18" t="str">
        <f t="shared" si="1"/>
        <v>cuijm@inspur.com;;chengss@inspur.com;;kangzp@inspur.com;tangjing@inspur.com;</v>
      </c>
      <c r="C23" s="19" t="str">
        <f t="shared" si="2"/>
        <v>云服务集团FY2016业务数据</v>
      </c>
      <c r="D23" s="20" t="str">
        <f t="shared" si="3"/>
        <v>娄总，
      您好! 附件为贵单位本财年CSG签单/回款数据、CSG业务揭示，请查阅。
            云服务集团市场部</v>
      </c>
      <c r="E23" s="56" t="str">
        <f t="shared" si="4"/>
        <v>F:\工作\3浪潮云服务\市场部\本次发送\工作表合并\新疆区.xlsx</v>
      </c>
      <c r="F23" s="70" t="s">
        <v>385</v>
      </c>
      <c r="G23" s="30"/>
      <c r="H23" s="61" t="str">
        <f t="shared" si="5"/>
        <v/>
      </c>
      <c r="I23" s="61"/>
      <c r="J23" s="36"/>
      <c r="N23" s="46" t="s">
        <v>89</v>
      </c>
      <c r="O23" s="1" t="s">
        <v>50</v>
      </c>
      <c r="P23" s="1">
        <v>13999985001</v>
      </c>
      <c r="Q23" s="23" t="s">
        <v>51</v>
      </c>
      <c r="R23" s="21"/>
      <c r="S23" s="53" t="s">
        <v>123</v>
      </c>
      <c r="T23" s="37" t="s">
        <v>407</v>
      </c>
      <c r="U23" s="50" t="s">
        <v>408</v>
      </c>
      <c r="V23" s="19"/>
      <c r="W23" s="19">
        <v>18699020035</v>
      </c>
      <c r="X23" s="23" t="s">
        <v>409</v>
      </c>
      <c r="Y23" s="19"/>
      <c r="Z23" s="68" t="s">
        <v>123</v>
      </c>
      <c r="AA23" s="37" t="s">
        <v>485</v>
      </c>
      <c r="AB23" s="19" t="s">
        <v>66</v>
      </c>
      <c r="AC23" s="19">
        <v>13659956575</v>
      </c>
      <c r="AD23" s="23" t="s">
        <v>90</v>
      </c>
      <c r="AE23" s="19"/>
      <c r="AF23" s="37"/>
      <c r="AG23" s="23" t="s">
        <v>183</v>
      </c>
      <c r="AH23" s="23" t="str">
        <f t="shared" si="6"/>
        <v>;chengss@inspur.com;</v>
      </c>
      <c r="AI23" s="35" t="s">
        <v>183</v>
      </c>
      <c r="AJ23" s="35" t="s">
        <v>183</v>
      </c>
      <c r="AK23" s="54" t="s">
        <v>123</v>
      </c>
      <c r="AL23" s="37"/>
      <c r="AM23" s="23"/>
      <c r="AN23" s="19"/>
      <c r="AO23" s="20"/>
      <c r="AP23" s="37"/>
      <c r="AQ23" s="19"/>
      <c r="AR23" s="19"/>
      <c r="AS23" s="19"/>
    </row>
    <row r="24" spans="1:45" ht="15.75" customHeight="1" x14ac:dyDescent="0.35">
      <c r="A24" s="18" t="str">
        <f t="shared" si="0"/>
        <v>lianglin@inspur.com</v>
      </c>
      <c r="B24" s="18" t="str">
        <f t="shared" si="1"/>
        <v>liu.yong@inspur.com;;chenshl@inspur.com;;kangzp@inspur.com;tangjing@inspur.com;</v>
      </c>
      <c r="C24" s="19" t="str">
        <f t="shared" si="2"/>
        <v>云服务集团FY2016业务数据</v>
      </c>
      <c r="D24" s="20" t="str">
        <f t="shared" si="3"/>
        <v>梁总，
      您好! 附件为贵单位本财年CSG签单/回款数据、CSG业务揭示，请查阅。
            云服务集团市场部</v>
      </c>
      <c r="E24" s="56" t="str">
        <f t="shared" si="4"/>
        <v>F:\工作\3浪潮云服务\市场部\本次发送\工作表合并\广西区.xlsx</v>
      </c>
      <c r="F24" s="70" t="s">
        <v>386</v>
      </c>
      <c r="G24" s="30"/>
      <c r="H24" s="61" t="str">
        <f t="shared" si="5"/>
        <v/>
      </c>
      <c r="I24" s="61"/>
      <c r="J24" s="36"/>
      <c r="N24" s="46" t="s">
        <v>105</v>
      </c>
      <c r="O24" s="1" t="s">
        <v>16</v>
      </c>
      <c r="P24" s="1">
        <v>13759533658</v>
      </c>
      <c r="Q24" s="23" t="s">
        <v>17</v>
      </c>
      <c r="R24" s="21"/>
      <c r="S24" s="53" t="s">
        <v>122</v>
      </c>
      <c r="T24" s="37" t="s">
        <v>147</v>
      </c>
      <c r="U24" s="50" t="s">
        <v>283</v>
      </c>
      <c r="V24" s="19" t="s">
        <v>143</v>
      </c>
      <c r="W24" s="19">
        <v>13607710531</v>
      </c>
      <c r="X24" s="23" t="s">
        <v>171</v>
      </c>
      <c r="Y24" s="19"/>
      <c r="Z24" s="68" t="s">
        <v>122</v>
      </c>
      <c r="AA24" s="37" t="s">
        <v>487</v>
      </c>
      <c r="AB24" s="19" t="s">
        <v>73</v>
      </c>
      <c r="AC24" s="19">
        <v>15977759932</v>
      </c>
      <c r="AD24" s="23" t="s">
        <v>106</v>
      </c>
      <c r="AE24" s="19"/>
      <c r="AF24" s="37"/>
      <c r="AG24" s="23" t="s">
        <v>183</v>
      </c>
      <c r="AH24" s="23" t="str">
        <f t="shared" si="6"/>
        <v>;chenshl@inspur.com;</v>
      </c>
      <c r="AI24" s="35" t="s">
        <v>183</v>
      </c>
      <c r="AJ24" s="35" t="s">
        <v>183</v>
      </c>
      <c r="AK24" s="54" t="s">
        <v>122</v>
      </c>
      <c r="AL24" s="37"/>
      <c r="AM24" s="23"/>
      <c r="AN24" s="19"/>
      <c r="AO24" s="20"/>
      <c r="AP24" s="37"/>
      <c r="AQ24" s="19"/>
      <c r="AR24" s="19"/>
      <c r="AS24" s="19"/>
    </row>
    <row r="25" spans="1:45" ht="15.75" customHeight="1" x14ac:dyDescent="0.35">
      <c r="A25" s="18" t="str">
        <f t="shared" si="0"/>
        <v>kangll@inspur.com</v>
      </c>
      <c r="B25" s="18" t="str">
        <f t="shared" si="1"/>
        <v>kangkai@inspur.com;liumengfang@inspur.com;haoling@inspur.com;yumh@inspur.com;kangzp@inspur.com;tangjing@inspur.com;</v>
      </c>
      <c r="C25" s="19" t="str">
        <f t="shared" si="2"/>
        <v>云服务集团FY2016业务数据</v>
      </c>
      <c r="D25" s="20" t="str">
        <f t="shared" si="3"/>
        <v>康总，
      您好! 附件为贵单位本财年CSG签单/回款数据、CSG业务揭示，请查阅。
            云服务集团市场部</v>
      </c>
      <c r="E25" s="56" t="str">
        <f t="shared" si="4"/>
        <v>F:\工作\3浪潮云服务\市场部\本次发送\工作表合并\重庆区.xlsx</v>
      </c>
      <c r="F25" s="70" t="s">
        <v>387</v>
      </c>
      <c r="G25" s="30"/>
      <c r="H25" s="61" t="str">
        <f t="shared" si="5"/>
        <v/>
      </c>
      <c r="I25" s="61"/>
      <c r="J25" s="36"/>
      <c r="N25" s="46" t="s">
        <v>92</v>
      </c>
      <c r="O25" s="1" t="s">
        <v>415</v>
      </c>
      <c r="P25" s="1"/>
      <c r="Q25" s="23" t="s">
        <v>416</v>
      </c>
      <c r="R25" s="21"/>
      <c r="S25" s="53" t="s">
        <v>121</v>
      </c>
      <c r="T25" s="73" t="s">
        <v>528</v>
      </c>
      <c r="U25" s="50" t="s">
        <v>527</v>
      </c>
      <c r="V25" s="19" t="s">
        <v>165</v>
      </c>
      <c r="W25" s="19">
        <v>13389603995</v>
      </c>
      <c r="X25" s="23" t="s">
        <v>526</v>
      </c>
      <c r="Y25" s="19"/>
      <c r="Z25" s="68" t="s">
        <v>121</v>
      </c>
      <c r="AA25" s="37" t="s">
        <v>489</v>
      </c>
      <c r="AB25" s="19" t="s">
        <v>68</v>
      </c>
      <c r="AC25" s="19">
        <v>15923343988</v>
      </c>
      <c r="AD25" s="23" t="s">
        <v>93</v>
      </c>
      <c r="AE25" s="19"/>
      <c r="AF25" s="37" t="s">
        <v>523</v>
      </c>
      <c r="AG25" s="23" t="s">
        <v>313</v>
      </c>
      <c r="AH25" s="23" t="str">
        <f t="shared" si="6"/>
        <v>liumengfang@inspur.com;haoling@inspur.com;yumh@inspur.com</v>
      </c>
      <c r="AI25" s="35" t="s">
        <v>183</v>
      </c>
      <c r="AJ25" s="35" t="s">
        <v>183</v>
      </c>
      <c r="AK25" s="54" t="s">
        <v>121</v>
      </c>
      <c r="AL25" s="37" t="s">
        <v>356</v>
      </c>
      <c r="AM25" s="23" t="s">
        <v>355</v>
      </c>
      <c r="AN25" s="19" t="s">
        <v>302</v>
      </c>
      <c r="AO25" s="20"/>
      <c r="AP25" s="37"/>
      <c r="AQ25" s="19"/>
      <c r="AR25" s="19"/>
      <c r="AS25" s="19"/>
    </row>
    <row r="26" spans="1:45" ht="15.75" customHeight="1" x14ac:dyDescent="0.35">
      <c r="A26" s="18" t="str">
        <f t="shared" si="0"/>
        <v>houdj@inspur.com</v>
      </c>
      <c r="B26" s="18" t="str">
        <f t="shared" si="1"/>
        <v>xinjl@inspur.com;;benhy@insur.com;lixialc@inspur.com;kangzp@inspur.com;tangjing@inspur.com;</v>
      </c>
      <c r="C26" s="19" t="str">
        <f t="shared" si="2"/>
        <v>云服务集团FY2016业务数据</v>
      </c>
      <c r="D26" s="20" t="str">
        <f t="shared" si="3"/>
        <v>侯总，
      您好! 附件为贵单位本财年CSG签单/回款数据、CSG业务揭示，请查阅。
            云服务集团市场部</v>
      </c>
      <c r="E26" s="56" t="str">
        <f t="shared" si="4"/>
        <v>F:\工作\3浪潮云服务\市场部\本次发送\工作表合并\浙江区.xlsx</v>
      </c>
      <c r="F26" s="70" t="s">
        <v>388</v>
      </c>
      <c r="G26" s="30"/>
      <c r="H26" s="61" t="str">
        <f t="shared" si="5"/>
        <v/>
      </c>
      <c r="I26" s="61"/>
      <c r="J26" s="36"/>
      <c r="N26" s="46" t="s">
        <v>103</v>
      </c>
      <c r="O26" s="1" t="s">
        <v>54</v>
      </c>
      <c r="P26" s="1">
        <v>15658879929</v>
      </c>
      <c r="Q26" s="23" t="s">
        <v>55</v>
      </c>
      <c r="R26" s="21"/>
      <c r="S26" s="53" t="s">
        <v>490</v>
      </c>
      <c r="T26" s="37" t="s">
        <v>419</v>
      </c>
      <c r="U26" s="50" t="s">
        <v>420</v>
      </c>
      <c r="V26" s="19" t="s">
        <v>421</v>
      </c>
      <c r="W26" s="19">
        <v>18953119966</v>
      </c>
      <c r="X26" s="23" t="s">
        <v>422</v>
      </c>
      <c r="Y26" s="19"/>
      <c r="Z26" s="68" t="s">
        <v>490</v>
      </c>
      <c r="AA26" s="37" t="s">
        <v>491</v>
      </c>
      <c r="AB26" s="19" t="s">
        <v>66</v>
      </c>
      <c r="AC26" s="19">
        <v>18668060228</v>
      </c>
      <c r="AD26" s="23" t="s">
        <v>104</v>
      </c>
      <c r="AE26" s="19"/>
      <c r="AF26" s="37" t="s">
        <v>524</v>
      </c>
      <c r="AG26" s="23" t="s">
        <v>272</v>
      </c>
      <c r="AH26" s="23" t="str">
        <f t="shared" si="6"/>
        <v>;benhy@insur.com;lixialc@inspur.com</v>
      </c>
      <c r="AI26" s="35" t="s">
        <v>183</v>
      </c>
      <c r="AJ26" s="35" t="s">
        <v>183</v>
      </c>
      <c r="AK26" s="54" t="s">
        <v>103</v>
      </c>
      <c r="AL26" s="37"/>
      <c r="AM26" s="23"/>
      <c r="AN26" s="19"/>
      <c r="AO26" s="20"/>
      <c r="AP26" s="37"/>
      <c r="AQ26" s="19"/>
      <c r="AR26" s="19"/>
      <c r="AS26" s="19"/>
    </row>
    <row r="27" spans="1:45" ht="15.75" customHeight="1" x14ac:dyDescent="0.35">
      <c r="A27" s="18" t="str">
        <f t="shared" si="0"/>
        <v>jiangy@inspur.com</v>
      </c>
      <c r="B27" s="18" t="str">
        <f t="shared" si="1"/>
        <v>lixin@inspur.com;;fuyx@inspur.com;;kangzp@inspur.com;tangjing@inspur.com;</v>
      </c>
      <c r="C27" s="19" t="str">
        <f t="shared" si="2"/>
        <v>云服务集团FY2016业务数据</v>
      </c>
      <c r="D27" s="20" t="str">
        <f t="shared" si="3"/>
        <v>江总，
      您好! 附件为贵单位本财年CSG签单/回款数据、CSG业务揭示，请查阅。
            云服务集团市场部</v>
      </c>
      <c r="E27" s="56" t="str">
        <f t="shared" si="4"/>
        <v>F:\工作\3浪潮云服务\市场部\本次发送\工作表合并\贵州区.xlsx</v>
      </c>
      <c r="F27" s="71" t="s">
        <v>389</v>
      </c>
      <c r="G27" s="30"/>
      <c r="H27" s="61" t="str">
        <f t="shared" si="5"/>
        <v/>
      </c>
      <c r="I27" s="61"/>
      <c r="J27" s="36"/>
      <c r="N27" s="46" t="s">
        <v>107</v>
      </c>
      <c r="O27" s="2" t="s">
        <v>18</v>
      </c>
      <c r="P27" s="2">
        <v>13385115600</v>
      </c>
      <c r="Q27" s="23" t="s">
        <v>19</v>
      </c>
      <c r="R27" s="21"/>
      <c r="S27" s="53" t="s">
        <v>120</v>
      </c>
      <c r="T27" s="37" t="s">
        <v>148</v>
      </c>
      <c r="U27" s="50" t="s">
        <v>284</v>
      </c>
      <c r="V27" s="19" t="s">
        <v>143</v>
      </c>
      <c r="W27" s="19">
        <v>18985187797</v>
      </c>
      <c r="X27" s="23" t="s">
        <v>308</v>
      </c>
      <c r="Y27" s="19"/>
      <c r="Z27" s="68" t="s">
        <v>120</v>
      </c>
      <c r="AA27" s="37" t="s">
        <v>493</v>
      </c>
      <c r="AB27" s="19" t="s">
        <v>73</v>
      </c>
      <c r="AC27" s="19">
        <v>13312213132</v>
      </c>
      <c r="AD27" s="23" t="s">
        <v>108</v>
      </c>
      <c r="AE27" s="19"/>
      <c r="AF27" s="37"/>
      <c r="AG27" s="23" t="s">
        <v>183</v>
      </c>
      <c r="AH27" s="23" t="str">
        <f t="shared" si="6"/>
        <v>;fuyx@inspur.com;</v>
      </c>
      <c r="AI27" s="35" t="s">
        <v>183</v>
      </c>
      <c r="AJ27" s="35" t="s">
        <v>183</v>
      </c>
      <c r="AK27" s="54" t="s">
        <v>120</v>
      </c>
      <c r="AL27" s="37"/>
      <c r="AM27" s="23"/>
      <c r="AN27" s="19"/>
      <c r="AO27" s="20"/>
      <c r="AP27" s="37"/>
      <c r="AQ27" s="19"/>
      <c r="AR27" s="19"/>
      <c r="AS27" s="19"/>
    </row>
    <row r="28" spans="1:45" ht="15.75" customHeight="1" x14ac:dyDescent="0.35">
      <c r="A28" s="18" t="str">
        <f t="shared" si="0"/>
        <v>liangwg@inspur.com</v>
      </c>
      <c r="B28" s="18" t="str">
        <f t="shared" si="1"/>
        <v>tianysh@inspur.com;;liupf@inspur.com;;kangzp@inspur.com;tangjing@inspur.com;</v>
      </c>
      <c r="C28" s="19" t="str">
        <f t="shared" si="2"/>
        <v>云服务集团FY2016业务数据</v>
      </c>
      <c r="D28" s="20" t="str">
        <f t="shared" si="3"/>
        <v>梁总，
      您好! 附件为贵单位本财年CSG签单/回款数据、CSG业务揭示，请查阅。
            云服务集团市场部</v>
      </c>
      <c r="E28" s="56" t="str">
        <f t="shared" si="4"/>
        <v>F:\工作\3浪潮云服务\市场部\本次发送\工作表合并\吉林区.xlsx</v>
      </c>
      <c r="F28" s="71" t="s">
        <v>390</v>
      </c>
      <c r="G28" s="30"/>
      <c r="H28" s="61" t="str">
        <f t="shared" si="5"/>
        <v/>
      </c>
      <c r="I28" s="61"/>
      <c r="J28" s="36"/>
      <c r="N28" s="46" t="s">
        <v>102</v>
      </c>
      <c r="O28" s="2" t="s">
        <v>30</v>
      </c>
      <c r="P28" s="2">
        <v>13904310166</v>
      </c>
      <c r="Q28" s="23" t="s">
        <v>31</v>
      </c>
      <c r="R28" s="21"/>
      <c r="S28" s="53" t="s">
        <v>119</v>
      </c>
      <c r="T28" s="37" t="s">
        <v>293</v>
      </c>
      <c r="U28" s="50" t="s">
        <v>294</v>
      </c>
      <c r="V28" s="19" t="s">
        <v>143</v>
      </c>
      <c r="W28" s="19">
        <v>13904310878</v>
      </c>
      <c r="X28" s="23" t="s">
        <v>309</v>
      </c>
      <c r="Y28" s="19"/>
      <c r="Z28" s="68" t="s">
        <v>119</v>
      </c>
      <c r="AA28" s="37" t="s">
        <v>495</v>
      </c>
      <c r="AB28" s="19" t="s">
        <v>66</v>
      </c>
      <c r="AC28" s="19">
        <v>15104310492</v>
      </c>
      <c r="AD28" s="23" t="s">
        <v>295</v>
      </c>
      <c r="AE28" s="19"/>
      <c r="AF28" s="37"/>
      <c r="AG28" s="23" t="s">
        <v>183</v>
      </c>
      <c r="AH28" s="23" t="str">
        <f t="shared" si="6"/>
        <v>;liupf@inspur.com;</v>
      </c>
      <c r="AI28" s="35" t="s">
        <v>183</v>
      </c>
      <c r="AJ28" s="35" t="s">
        <v>183</v>
      </c>
      <c r="AK28" s="54" t="s">
        <v>119</v>
      </c>
      <c r="AL28" s="37"/>
      <c r="AM28" s="23"/>
      <c r="AN28" s="19"/>
      <c r="AO28" s="20"/>
      <c r="AP28" s="37"/>
      <c r="AQ28" s="19"/>
      <c r="AR28" s="19"/>
      <c r="AS28" s="19"/>
    </row>
    <row r="29" spans="1:45" ht="15.75" customHeight="1" x14ac:dyDescent="0.35">
      <c r="A29" s="18" t="str">
        <f t="shared" si="0"/>
        <v>jinlei@inspur.com</v>
      </c>
      <c r="B29" s="18" t="str">
        <f t="shared" si="1"/>
        <v>zhengxin@inspur.com;;guowj@inspur.com;zhangxiaohong@inspur.com;kangzp@inspur.com;tangjing@inspur.com;</v>
      </c>
      <c r="C29" s="19" t="str">
        <f t="shared" si="2"/>
        <v>云服务集团FY2016业务数据</v>
      </c>
      <c r="D29" s="20" t="str">
        <f t="shared" si="3"/>
        <v>靳总，
      您好! 附件为贵单位本财年CSG签单/回款数据、CSG业务揭示，请查阅。
            云服务集团市场部</v>
      </c>
      <c r="E29" s="56" t="str">
        <f t="shared" si="4"/>
        <v>F:\工作\3浪潮云服务\市场部\本次发送\工作表合并\云南区.xlsx</v>
      </c>
      <c r="F29" s="70" t="s">
        <v>391</v>
      </c>
      <c r="G29" s="30"/>
      <c r="H29" s="61" t="str">
        <f t="shared" si="5"/>
        <v/>
      </c>
      <c r="I29" s="61"/>
      <c r="J29" s="36"/>
      <c r="N29" s="46" t="s">
        <v>98</v>
      </c>
      <c r="O29" s="1" t="s">
        <v>52</v>
      </c>
      <c r="P29" s="1">
        <v>13911166859</v>
      </c>
      <c r="Q29" s="23" t="s">
        <v>53</v>
      </c>
      <c r="R29" s="21"/>
      <c r="S29" s="53" t="s">
        <v>118</v>
      </c>
      <c r="T29" s="37" t="s">
        <v>166</v>
      </c>
      <c r="U29" s="50" t="s">
        <v>285</v>
      </c>
      <c r="V29" s="19" t="s">
        <v>143</v>
      </c>
      <c r="W29" s="19">
        <v>13769110025</v>
      </c>
      <c r="X29" s="23" t="s">
        <v>172</v>
      </c>
      <c r="Y29" s="19"/>
      <c r="Z29" s="68" t="s">
        <v>118</v>
      </c>
      <c r="AA29" s="37" t="s">
        <v>497</v>
      </c>
      <c r="AB29" s="19" t="s">
        <v>80</v>
      </c>
      <c r="AC29" s="19">
        <v>18653172188</v>
      </c>
      <c r="AD29" s="23" t="s">
        <v>99</v>
      </c>
      <c r="AE29" s="19"/>
      <c r="AF29" s="37" t="s">
        <v>525</v>
      </c>
      <c r="AG29" s="23" t="s">
        <v>224</v>
      </c>
      <c r="AH29" s="23" t="str">
        <f t="shared" si="6"/>
        <v>;guowj@inspur.com;zhangxiaohong@inspur.com</v>
      </c>
      <c r="AI29" s="35" t="s">
        <v>183</v>
      </c>
      <c r="AJ29" s="35" t="s">
        <v>183</v>
      </c>
      <c r="AK29" s="54" t="s">
        <v>118</v>
      </c>
      <c r="AL29" s="37"/>
      <c r="AM29" s="23"/>
      <c r="AN29" s="19"/>
      <c r="AO29" s="20"/>
      <c r="AP29" s="37"/>
      <c r="AQ29" s="19"/>
      <c r="AR29" s="19"/>
      <c r="AS29" s="19"/>
    </row>
    <row r="30" spans="1:45" ht="15.75" customHeight="1" x14ac:dyDescent="0.35">
      <c r="A30" s="18" t="str">
        <f t="shared" si="0"/>
        <v>ye_hui@inspur.com</v>
      </c>
      <c r="B30" s="18" t="str">
        <f t="shared" si="1"/>
        <v>qinchen@inspur.com;;thz@inspur.com;;kangzp@inspur.com;tangjing@inspur.com;</v>
      </c>
      <c r="C30" s="19" t="str">
        <f t="shared" si="2"/>
        <v>云服务集团FY2016业务数据</v>
      </c>
      <c r="D30" s="20" t="str">
        <f t="shared" si="3"/>
        <v>叶总，
      您好! 附件为贵单位本财年CSG签单/回款数据、CSG业务揭示，请查阅。
            云服务集团市场部</v>
      </c>
      <c r="E30" s="56" t="str">
        <f t="shared" si="4"/>
        <v>F:\工作\3浪潮云服务\市场部\本次发送\工作表合并\海南区.xlsx</v>
      </c>
      <c r="F30" s="70" t="s">
        <v>392</v>
      </c>
      <c r="G30" s="30"/>
      <c r="H30" s="61" t="str">
        <f t="shared" si="5"/>
        <v/>
      </c>
      <c r="I30" s="61"/>
      <c r="J30" s="36"/>
      <c r="N30" s="46" t="s">
        <v>114</v>
      </c>
      <c r="O30" s="1" t="s">
        <v>20</v>
      </c>
      <c r="P30" s="1">
        <v>18608994333</v>
      </c>
      <c r="Q30" s="23" t="s">
        <v>21</v>
      </c>
      <c r="R30" s="21"/>
      <c r="S30" s="53" t="s">
        <v>498</v>
      </c>
      <c r="T30" s="1" t="s">
        <v>532</v>
      </c>
      <c r="U30" s="50" t="s">
        <v>533</v>
      </c>
      <c r="V30" s="19"/>
      <c r="W30" s="19">
        <v>18907623892</v>
      </c>
      <c r="X30" s="4" t="s">
        <v>534</v>
      </c>
      <c r="Y30" s="19"/>
      <c r="Z30" s="68" t="s">
        <v>498</v>
      </c>
      <c r="AA30" s="37" t="s">
        <v>500</v>
      </c>
      <c r="AB30" s="65" t="s">
        <v>183</v>
      </c>
      <c r="AC30" s="19"/>
      <c r="AD30" s="23" t="s">
        <v>234</v>
      </c>
      <c r="AE30" s="19"/>
      <c r="AF30" s="37"/>
      <c r="AG30" s="23" t="s">
        <v>183</v>
      </c>
      <c r="AH30" s="23" t="str">
        <f t="shared" si="6"/>
        <v>;thz@inspur.com;</v>
      </c>
      <c r="AI30" s="35" t="s">
        <v>183</v>
      </c>
      <c r="AJ30" s="35" t="s">
        <v>183</v>
      </c>
      <c r="AK30" s="54" t="s">
        <v>114</v>
      </c>
      <c r="AL30" s="37"/>
      <c r="AM30" s="23"/>
      <c r="AN30" s="19"/>
      <c r="AO30" s="20"/>
      <c r="AP30" s="37"/>
      <c r="AQ30" s="19"/>
      <c r="AR30" s="19"/>
      <c r="AS30" s="19"/>
    </row>
    <row r="31" spans="1:45" ht="15.75" customHeight="1" x14ac:dyDescent="0.35">
      <c r="A31" s="18" t="str">
        <f t="shared" si="0"/>
        <v>songning@inspur.com</v>
      </c>
      <c r="B31" s="18" t="str">
        <f t="shared" si="1"/>
        <v>wangnj@inspur.com;;hanmin@insur.com;;kangzp@inspur.com;tangjing@inspur.com;</v>
      </c>
      <c r="C31" s="19" t="str">
        <f t="shared" si="2"/>
        <v>云服务集团FY2016业务数据</v>
      </c>
      <c r="D31" s="20" t="str">
        <f t="shared" si="3"/>
        <v>宋总，
      您好! 附件为贵单位本财年CSG签单/回款数据、CSG业务揭示，请查阅。
            云服务集团市场部</v>
      </c>
      <c r="E31" s="56" t="str">
        <f t="shared" si="4"/>
        <v>F:\工作\3浪潮云服务\市场部\本次发送\工作表合并\宁夏区.xlsx</v>
      </c>
      <c r="F31" s="70" t="s">
        <v>393</v>
      </c>
      <c r="G31" s="30"/>
      <c r="H31" s="61" t="str">
        <f t="shared" si="5"/>
        <v/>
      </c>
      <c r="I31" s="61"/>
      <c r="J31" s="36"/>
      <c r="N31" s="46" t="s">
        <v>109</v>
      </c>
      <c r="O31" s="1" t="s">
        <v>38</v>
      </c>
      <c r="P31" s="1">
        <v>13309595050</v>
      </c>
      <c r="Q31" s="23" t="s">
        <v>39</v>
      </c>
      <c r="R31" s="21"/>
      <c r="S31" s="53" t="s">
        <v>163</v>
      </c>
      <c r="T31" s="37" t="s">
        <v>155</v>
      </c>
      <c r="U31" s="50" t="s">
        <v>286</v>
      </c>
      <c r="V31" s="19" t="s">
        <v>143</v>
      </c>
      <c r="W31" s="19">
        <v>13909519110</v>
      </c>
      <c r="X31" s="23" t="s">
        <v>173</v>
      </c>
      <c r="Y31" s="19"/>
      <c r="Z31" s="68" t="s">
        <v>163</v>
      </c>
      <c r="AA31" s="37" t="s">
        <v>502</v>
      </c>
      <c r="AB31" s="19" t="s">
        <v>66</v>
      </c>
      <c r="AC31" s="19">
        <v>18991165433</v>
      </c>
      <c r="AD31" s="23" t="s">
        <v>110</v>
      </c>
      <c r="AE31" s="19"/>
      <c r="AF31" s="37"/>
      <c r="AG31" s="23" t="s">
        <v>183</v>
      </c>
      <c r="AH31" s="23" t="str">
        <f t="shared" si="6"/>
        <v>;hanmin@insur.com;</v>
      </c>
      <c r="AI31" s="35" t="s">
        <v>183</v>
      </c>
      <c r="AJ31" s="35" t="s">
        <v>183</v>
      </c>
      <c r="AK31" s="54" t="s">
        <v>163</v>
      </c>
      <c r="AL31" s="37"/>
      <c r="AM31" s="23"/>
      <c r="AN31" s="19"/>
      <c r="AO31" s="20"/>
      <c r="AP31" s="37"/>
      <c r="AQ31" s="19"/>
      <c r="AR31" s="19"/>
      <c r="AS31" s="19"/>
    </row>
    <row r="32" spans="1:45" ht="15.75" customHeight="1" x14ac:dyDescent="0.35">
      <c r="A32" s="18" t="str">
        <f t="shared" si="0"/>
        <v>liuchuanhui@inspur.com</v>
      </c>
      <c r="B32" s="18" t="str">
        <f t="shared" si="1"/>
        <v>liu_gang@inspur.com;miaokai@inspur.com;yangxueli@inspur.com;;kangzp@inspur.com;tangjing@inspur.com;</v>
      </c>
      <c r="C32" s="19" t="str">
        <f t="shared" si="2"/>
        <v>云服务集团FY2016业务数据</v>
      </c>
      <c r="D32" s="20" t="str">
        <f t="shared" si="3"/>
        <v>刘总，
      您好! 附件为贵单位本财年CSG签单/回款数据、CSG业务揭示，请查阅。
            云服务集团市场部</v>
      </c>
      <c r="E32" s="56" t="str">
        <f t="shared" si="4"/>
        <v>F:\工作\3浪潮云服务\市场部\本次发送\工作表合并\青海区.xlsx</v>
      </c>
      <c r="F32" s="70" t="s">
        <v>394</v>
      </c>
      <c r="G32" s="30"/>
      <c r="H32" s="61" t="str">
        <f t="shared" si="5"/>
        <v/>
      </c>
      <c r="I32" s="61"/>
      <c r="J32" s="36"/>
      <c r="N32" s="46" t="s">
        <v>111</v>
      </c>
      <c r="O32" s="1" t="s">
        <v>353</v>
      </c>
      <c r="P32" s="1">
        <v>13893613145</v>
      </c>
      <c r="Q32" s="23" t="s">
        <v>354</v>
      </c>
      <c r="R32" s="21"/>
      <c r="S32" s="53" t="s">
        <v>164</v>
      </c>
      <c r="T32" s="37" t="s">
        <v>427</v>
      </c>
      <c r="U32" s="50" t="s">
        <v>320</v>
      </c>
      <c r="V32" s="19"/>
      <c r="W32" s="19">
        <v>13355412003</v>
      </c>
      <c r="X32" s="23" t="s">
        <v>428</v>
      </c>
      <c r="Y32" s="19"/>
      <c r="Z32" s="68" t="s">
        <v>164</v>
      </c>
      <c r="AA32" s="37" t="s">
        <v>504</v>
      </c>
      <c r="AB32" s="19" t="s">
        <v>66</v>
      </c>
      <c r="AC32" s="19">
        <v>15309719572</v>
      </c>
      <c r="AD32" s="23" t="s">
        <v>112</v>
      </c>
      <c r="AE32" s="19"/>
      <c r="AF32" s="37"/>
      <c r="AG32" s="23" t="s">
        <v>183</v>
      </c>
      <c r="AH32" s="23" t="str">
        <f t="shared" si="6"/>
        <v>miaokai@inspur.com;yangxueli@inspur.com;</v>
      </c>
      <c r="AI32" s="35" t="s">
        <v>183</v>
      </c>
      <c r="AJ32" s="35" t="s">
        <v>183</v>
      </c>
      <c r="AK32" s="54" t="s">
        <v>164</v>
      </c>
      <c r="AL32" s="37" t="s">
        <v>149</v>
      </c>
      <c r="AM32" s="23" t="s">
        <v>300</v>
      </c>
      <c r="AN32" s="19" t="s">
        <v>143</v>
      </c>
      <c r="AO32" s="20">
        <v>18697133660</v>
      </c>
      <c r="AP32" s="37"/>
      <c r="AQ32" s="19"/>
      <c r="AR32" s="19"/>
      <c r="AS32" s="19"/>
    </row>
    <row r="33" spans="1:45" ht="15.75" customHeight="1" x14ac:dyDescent="0.35">
      <c r="A33" s="18" t="str">
        <f t="shared" si="0"/>
        <v>tanghong@inspur.com</v>
      </c>
      <c r="B33" s="18" t="str">
        <f t="shared" si="1"/>
        <v>wangshan@inspur.com;;aixy@inspur.com;;kangzp@inspur.com;tangjing@inspur.com;</v>
      </c>
      <c r="C33" s="19" t="str">
        <f t="shared" si="2"/>
        <v>云服务集团FY2016业务数据</v>
      </c>
      <c r="D33" s="20" t="str">
        <f t="shared" si="3"/>
        <v>唐总，
      您好! 附件为贵单位本财年CSG签单/回款数据、CSG业务揭示，请查阅。
            云服务集团市场部</v>
      </c>
      <c r="E33" s="56" t="str">
        <f t="shared" si="4"/>
        <v>F:\工作\3浪潮云服务\市场部\本次发送\工作表合并\西藏区.xlsx</v>
      </c>
      <c r="F33" s="70" t="s">
        <v>395</v>
      </c>
      <c r="G33" s="30"/>
      <c r="H33" s="61" t="str">
        <f t="shared" si="5"/>
        <v/>
      </c>
      <c r="I33" s="61"/>
      <c r="J33" s="36"/>
      <c r="N33" s="48" t="s">
        <v>206</v>
      </c>
      <c r="O33" s="3" t="s">
        <v>207</v>
      </c>
      <c r="P33" s="3"/>
      <c r="Q33" s="23" t="s">
        <v>257</v>
      </c>
      <c r="R33" s="22"/>
      <c r="S33" s="53" t="s">
        <v>206</v>
      </c>
      <c r="T33" s="37" t="s">
        <v>208</v>
      </c>
      <c r="U33" s="50" t="s">
        <v>287</v>
      </c>
      <c r="V33" s="19"/>
      <c r="W33" s="19">
        <v>17380628812</v>
      </c>
      <c r="X33" s="23" t="s">
        <v>310</v>
      </c>
      <c r="Y33" s="19"/>
      <c r="Z33" s="68" t="s">
        <v>206</v>
      </c>
      <c r="AA33" s="37" t="s">
        <v>506</v>
      </c>
      <c r="AB33" s="65" t="s">
        <v>183</v>
      </c>
      <c r="AC33" s="19"/>
      <c r="AD33" s="23" t="s">
        <v>255</v>
      </c>
      <c r="AE33" s="19"/>
      <c r="AF33" s="37"/>
      <c r="AG33" s="23" t="s">
        <v>183</v>
      </c>
      <c r="AH33" s="23" t="str">
        <f t="shared" si="6"/>
        <v>;aixy@inspur.com;</v>
      </c>
      <c r="AI33" s="35" t="s">
        <v>183</v>
      </c>
      <c r="AJ33" s="35" t="s">
        <v>183</v>
      </c>
      <c r="AK33" s="54" t="s">
        <v>206</v>
      </c>
      <c r="AL33" s="37"/>
      <c r="AM33" s="23"/>
      <c r="AN33" s="19"/>
      <c r="AO33" s="20"/>
      <c r="AP33" s="37"/>
      <c r="AQ33" s="19"/>
      <c r="AR33" s="19"/>
      <c r="AS33" s="19"/>
    </row>
    <row r="34" spans="1:45" ht="15.75" customHeight="1" x14ac:dyDescent="0.35">
      <c r="A34" s="18" t="str">
        <f t="shared" si="0"/>
        <v>zhaojun@inspur.com</v>
      </c>
      <c r="B34" s="18" t="str">
        <f t="shared" si="1"/>
        <v>tianht@inspur.com;;liuzhiyu@inspur.com;;kangzp@inspur.com;tangjing@inspur.com;</v>
      </c>
      <c r="C34" s="19" t="str">
        <f t="shared" si="2"/>
        <v>云服务集团FY2016业务数据</v>
      </c>
      <c r="D34" s="20" t="str">
        <f t="shared" si="3"/>
        <v>赵总，
      您好! 附件为贵单位本财年CSG签单/回款数据、CSG业务揭示，请查阅。
            云服务集团市场部</v>
      </c>
      <c r="E34" s="56" t="str">
        <f t="shared" si="4"/>
        <v>F:\工作\3浪潮云服务\市场部\本次发送\工作表合并\政法行业部.xlsx</v>
      </c>
      <c r="F34" s="37" t="s">
        <v>197</v>
      </c>
      <c r="G34" s="30" t="s">
        <v>183</v>
      </c>
      <c r="H34" s="61" t="str">
        <f t="shared" si="5"/>
        <v/>
      </c>
      <c r="I34" s="61"/>
      <c r="J34" s="36"/>
      <c r="K34" s="38"/>
      <c r="L34" s="38"/>
      <c r="M34" s="38"/>
      <c r="N34" s="49" t="s">
        <v>197</v>
      </c>
      <c r="O34" s="1" t="s">
        <v>235</v>
      </c>
      <c r="P34" s="19"/>
      <c r="Q34" s="23" t="s">
        <v>248</v>
      </c>
      <c r="R34" s="19"/>
      <c r="S34" s="53" t="s">
        <v>197</v>
      </c>
      <c r="T34" s="37" t="s">
        <v>241</v>
      </c>
      <c r="U34" s="50" t="s">
        <v>275</v>
      </c>
      <c r="V34" s="19"/>
      <c r="W34" s="19">
        <v>13305317619</v>
      </c>
      <c r="X34" s="23" t="s">
        <v>253</v>
      </c>
      <c r="Y34" s="19"/>
      <c r="Z34" s="68" t="s">
        <v>197</v>
      </c>
      <c r="AA34" s="37" t="s">
        <v>210</v>
      </c>
      <c r="AB34" s="65" t="s">
        <v>183</v>
      </c>
      <c r="AC34" s="19"/>
      <c r="AD34" s="23" t="s">
        <v>226</v>
      </c>
      <c r="AE34" s="19"/>
      <c r="AF34" s="37"/>
      <c r="AG34" s="23"/>
      <c r="AH34" s="23" t="str">
        <f t="shared" si="6"/>
        <v>;liuzhiyu@inspur.com;</v>
      </c>
      <c r="AI34" s="35" t="s">
        <v>183</v>
      </c>
      <c r="AJ34" s="35" t="s">
        <v>183</v>
      </c>
      <c r="AK34" s="54" t="s">
        <v>197</v>
      </c>
      <c r="AL34" s="37"/>
      <c r="AM34" s="23"/>
      <c r="AN34" s="19"/>
      <c r="AO34" s="20"/>
      <c r="AP34" s="37"/>
      <c r="AQ34" s="19"/>
      <c r="AR34" s="19"/>
      <c r="AS34" s="19"/>
    </row>
    <row r="35" spans="1:45" ht="15.75" customHeight="1" x14ac:dyDescent="0.35">
      <c r="A35" s="18" t="str">
        <f t="shared" si="0"/>
        <v>li.yj@inspur.com</v>
      </c>
      <c r="B35" s="18" t="str">
        <f t="shared" si="1"/>
        <v>shiyong@inspur.com;fujt@inspur.com;chenfy@inspur.com;;kangzp@inspur.com;tangjing@inspur.com;</v>
      </c>
      <c r="C35" s="19" t="str">
        <f t="shared" si="2"/>
        <v>云服务集团FY2016业务数据</v>
      </c>
      <c r="D35" s="20" t="str">
        <f t="shared" si="3"/>
        <v>李总，
      您好! 附件为贵单位本财年CSG签单/回款数据、CSG业务揭示，请查阅。
            云服务集团市场部</v>
      </c>
      <c r="E35" s="56" t="str">
        <f t="shared" si="4"/>
        <v>F:\工作\3浪潮云服务\市场部\本次发送\工作表合并\党政教育行业部.xlsx</v>
      </c>
      <c r="F35" s="37" t="s">
        <v>198</v>
      </c>
      <c r="G35" s="30" t="s">
        <v>183</v>
      </c>
      <c r="H35" s="61" t="str">
        <f t="shared" si="5"/>
        <v/>
      </c>
      <c r="I35" s="61"/>
      <c r="J35" s="36"/>
      <c r="K35" s="38"/>
      <c r="L35" s="38"/>
      <c r="M35" s="38"/>
      <c r="N35" s="49" t="s">
        <v>198</v>
      </c>
      <c r="O35" s="1" t="s">
        <v>236</v>
      </c>
      <c r="P35" s="19"/>
      <c r="Q35" s="23" t="s">
        <v>249</v>
      </c>
      <c r="R35" s="19"/>
      <c r="S35" s="53" t="s">
        <v>198</v>
      </c>
      <c r="T35" s="37" t="s">
        <v>242</v>
      </c>
      <c r="U35" s="50" t="s">
        <v>281</v>
      </c>
      <c r="V35" s="19"/>
      <c r="W35" s="19">
        <v>18901155067</v>
      </c>
      <c r="X35" s="23" t="s">
        <v>254</v>
      </c>
      <c r="Y35" s="19"/>
      <c r="Z35" s="68" t="s">
        <v>198</v>
      </c>
      <c r="AA35" s="37" t="s">
        <v>211</v>
      </c>
      <c r="AB35" s="65" t="s">
        <v>183</v>
      </c>
      <c r="AC35" s="19"/>
      <c r="AD35" s="23" t="s">
        <v>227</v>
      </c>
      <c r="AE35" s="19"/>
      <c r="AF35" s="37"/>
      <c r="AG35" s="23"/>
      <c r="AH35" s="23" t="str">
        <f t="shared" si="6"/>
        <v>fujt@inspur.com;chenfy@inspur.com;</v>
      </c>
      <c r="AI35" s="35" t="s">
        <v>183</v>
      </c>
      <c r="AJ35" s="35" t="s">
        <v>183</v>
      </c>
      <c r="AK35" s="54" t="s">
        <v>198</v>
      </c>
      <c r="AL35" s="37" t="s">
        <v>311</v>
      </c>
      <c r="AM35" s="23" t="s">
        <v>312</v>
      </c>
      <c r="AN35" s="19"/>
      <c r="AO35" s="20">
        <v>18600040407</v>
      </c>
      <c r="AP35" s="37"/>
      <c r="AQ35" s="19"/>
      <c r="AR35" s="19"/>
      <c r="AS35" s="19"/>
    </row>
    <row r="36" spans="1:45" ht="15.75" customHeight="1" x14ac:dyDescent="0.35">
      <c r="A36" s="18" t="str">
        <f t="shared" si="0"/>
        <v>zhanglinyfw@inspur.com</v>
      </c>
      <c r="B36" s="18" t="str">
        <f t="shared" si="1"/>
        <v>hushj@inspur.com;;wangjinping@inspur.com;;kangzp@inspur.com;tangjing@inspur.com;</v>
      </c>
      <c r="C36" s="19" t="str">
        <f t="shared" si="2"/>
        <v>云服务集团FY2016业务数据</v>
      </c>
      <c r="D36" s="20" t="str">
        <f t="shared" si="3"/>
        <v>张总，
      您好! 附件为贵单位本财年CSG签单/回款数据、CSG业务揭示，请查阅。
            云服务集团市场部</v>
      </c>
      <c r="E36" s="56" t="str">
        <f t="shared" si="4"/>
        <v>F:\工作\3浪潮云服务\市场部\本次发送\工作表合并\健康监管行业部.xlsx</v>
      </c>
      <c r="F36" s="37" t="s">
        <v>199</v>
      </c>
      <c r="G36" s="30" t="s">
        <v>183</v>
      </c>
      <c r="H36" s="61" t="str">
        <f t="shared" si="5"/>
        <v/>
      </c>
      <c r="I36" s="61"/>
      <c r="J36" s="36"/>
      <c r="K36" s="38"/>
      <c r="L36" s="38"/>
      <c r="M36" s="38"/>
      <c r="N36" s="49" t="s">
        <v>199</v>
      </c>
      <c r="O36" s="1" t="s">
        <v>237</v>
      </c>
      <c r="P36" s="19"/>
      <c r="Q36" s="23" t="s">
        <v>250</v>
      </c>
      <c r="R36" s="19"/>
      <c r="S36" s="53" t="s">
        <v>199</v>
      </c>
      <c r="T36" s="37" t="s">
        <v>437</v>
      </c>
      <c r="U36" s="50" t="s">
        <v>438</v>
      </c>
      <c r="V36" s="19"/>
      <c r="W36" s="19">
        <v>18600500301</v>
      </c>
      <c r="X36" s="23" t="s">
        <v>439</v>
      </c>
      <c r="Y36" s="19"/>
      <c r="Z36" s="68" t="s">
        <v>199</v>
      </c>
      <c r="AA36" s="37" t="s">
        <v>212</v>
      </c>
      <c r="AB36" s="65" t="s">
        <v>183</v>
      </c>
      <c r="AC36" s="19"/>
      <c r="AD36" s="23" t="s">
        <v>228</v>
      </c>
      <c r="AE36" s="19"/>
      <c r="AF36" s="37"/>
      <c r="AG36" s="23"/>
      <c r="AH36" s="23" t="str">
        <f t="shared" si="6"/>
        <v>;wangjinping@inspur.com;</v>
      </c>
      <c r="AI36" s="35" t="s">
        <v>183</v>
      </c>
      <c r="AJ36" s="35" t="s">
        <v>183</v>
      </c>
      <c r="AK36" s="54" t="s">
        <v>199</v>
      </c>
      <c r="AL36" s="37"/>
      <c r="AM36" s="23"/>
      <c r="AN36" s="19"/>
      <c r="AO36" s="20"/>
      <c r="AP36" s="37"/>
      <c r="AQ36" s="19"/>
      <c r="AR36" s="19"/>
      <c r="AS36" s="19"/>
    </row>
    <row r="37" spans="1:45" ht="15.75" customHeight="1" x14ac:dyDescent="0.35">
      <c r="A37" s="18" t="str">
        <f t="shared" si="0"/>
        <v>zhujiong@inspur.com</v>
      </c>
      <c r="B37" s="18" t="str">
        <f t="shared" si="1"/>
        <v>pangst@inspur.com;chenng@inspur.com;zhujiong@inspur.com;zhangxue@inspur.com;;kangzp@inspur.com;tangjing@inspur.com;</v>
      </c>
      <c r="C37" s="19" t="str">
        <f t="shared" si="2"/>
        <v>云服务集团FY2016业务数据</v>
      </c>
      <c r="D37" s="20" t="str">
        <f t="shared" si="3"/>
        <v>朱总，
      您好! 附件为贵单位本财年CSG签单/回款数据、CSG业务揭示，请查阅。
            云服务集团市场部</v>
      </c>
      <c r="E37" s="56" t="str">
        <f t="shared" si="4"/>
        <v>F:\工作\3浪潮云服务\市场部\本次发送\工作表合并\能源交通行业部.xlsx</v>
      </c>
      <c r="F37" s="37" t="s">
        <v>200</v>
      </c>
      <c r="G37" s="30" t="s">
        <v>183</v>
      </c>
      <c r="H37" s="61" t="str">
        <f t="shared" si="5"/>
        <v/>
      </c>
      <c r="I37" s="61"/>
      <c r="J37" s="36"/>
      <c r="K37" s="38"/>
      <c r="L37" s="38"/>
      <c r="M37" s="38"/>
      <c r="N37" s="49" t="s">
        <v>200</v>
      </c>
      <c r="O37" s="1" t="s">
        <v>238</v>
      </c>
      <c r="P37" s="19"/>
      <c r="Q37" s="23" t="s">
        <v>251</v>
      </c>
      <c r="R37" s="19"/>
      <c r="S37" s="53" t="s">
        <v>200</v>
      </c>
      <c r="T37" s="37" t="s">
        <v>433</v>
      </c>
      <c r="U37" s="50" t="s">
        <v>288</v>
      </c>
      <c r="V37" s="19"/>
      <c r="W37" s="19">
        <v>13911595951</v>
      </c>
      <c r="X37" s="23" t="s">
        <v>434</v>
      </c>
      <c r="Y37" s="19"/>
      <c r="Z37" s="68" t="s">
        <v>200</v>
      </c>
      <c r="AA37" s="37" t="s">
        <v>510</v>
      </c>
      <c r="AB37" s="65" t="s">
        <v>183</v>
      </c>
      <c r="AC37" s="19"/>
      <c r="AD37" s="23" t="s">
        <v>265</v>
      </c>
      <c r="AE37" s="19"/>
      <c r="AF37" s="37"/>
      <c r="AG37" s="23"/>
      <c r="AH37" s="23" t="str">
        <f t="shared" si="6"/>
        <v>chenng@inspur.com;zhujiong@inspur.com;zhangxue@inspur.com;</v>
      </c>
      <c r="AI37" s="35" t="s">
        <v>183</v>
      </c>
      <c r="AJ37" s="35" t="s">
        <v>183</v>
      </c>
      <c r="AK37" s="54" t="s">
        <v>200</v>
      </c>
      <c r="AL37" s="37" t="s">
        <v>264</v>
      </c>
      <c r="AM37" s="23" t="s">
        <v>267</v>
      </c>
      <c r="AN37" s="19" t="s">
        <v>268</v>
      </c>
      <c r="AO37" s="20"/>
      <c r="AP37" s="37"/>
      <c r="AQ37" s="19"/>
      <c r="AR37" s="19"/>
      <c r="AS37" s="19"/>
    </row>
    <row r="38" spans="1:45" ht="15.75" customHeight="1" x14ac:dyDescent="0.35">
      <c r="A38" s="18" t="str">
        <f t="shared" si="0"/>
        <v>zhangxinjian@inspur.com</v>
      </c>
      <c r="B38" s="18" t="str">
        <f t="shared" si="1"/>
        <v>fangwei@inspur.com;;tingzhang@inspur.com;;kangzp@inspur.com;tangjing@inspur.com;</v>
      </c>
      <c r="C38" s="19" t="str">
        <f t="shared" si="2"/>
        <v>云服务集团FY2016业务数据</v>
      </c>
      <c r="D38" s="20" t="str">
        <f t="shared" si="3"/>
        <v>张总，
      您好! 附件为贵单位本财年CSG签单/回款数据、CSG业务揭示，请查阅。
            云服务集团市场部</v>
      </c>
      <c r="E38" s="56" t="str">
        <f t="shared" si="4"/>
        <v>F:\工作\3浪潮云服务\市场部\本次发送\工作表合并\特种行业部.xlsx</v>
      </c>
      <c r="F38" s="37" t="s">
        <v>201</v>
      </c>
      <c r="G38" s="30" t="s">
        <v>183</v>
      </c>
      <c r="H38" s="61" t="str">
        <f t="shared" si="5"/>
        <v/>
      </c>
      <c r="I38" s="61"/>
      <c r="J38" s="36"/>
      <c r="K38" s="38"/>
      <c r="L38" s="38"/>
      <c r="M38" s="38"/>
      <c r="N38" s="49" t="s">
        <v>201</v>
      </c>
      <c r="O38" s="1" t="s">
        <v>239</v>
      </c>
      <c r="P38" s="19"/>
      <c r="Q38" s="23" t="s">
        <v>252</v>
      </c>
      <c r="R38" s="19"/>
      <c r="S38" s="53" t="s">
        <v>201</v>
      </c>
      <c r="T38" s="74" t="s">
        <v>530</v>
      </c>
      <c r="U38" s="50" t="s">
        <v>531</v>
      </c>
      <c r="V38" s="19"/>
      <c r="W38" s="19">
        <v>18660780676</v>
      </c>
      <c r="X38" s="4" t="s">
        <v>529</v>
      </c>
      <c r="Y38" s="19"/>
      <c r="Z38" s="68" t="s">
        <v>201</v>
      </c>
      <c r="AA38" s="37" t="s">
        <v>213</v>
      </c>
      <c r="AB38" s="65" t="s">
        <v>183</v>
      </c>
      <c r="AC38" s="19"/>
      <c r="AD38" s="23" t="s">
        <v>229</v>
      </c>
      <c r="AE38" s="19"/>
      <c r="AF38" s="37"/>
      <c r="AG38" s="23"/>
      <c r="AH38" s="23" t="str">
        <f t="shared" si="6"/>
        <v>;tingzhang@inspur.com;</v>
      </c>
      <c r="AI38" s="35" t="s">
        <v>183</v>
      </c>
      <c r="AJ38" s="35" t="s">
        <v>183</v>
      </c>
      <c r="AK38" s="54" t="s">
        <v>201</v>
      </c>
      <c r="AL38" s="37"/>
      <c r="AM38" s="23"/>
      <c r="AN38" s="19"/>
      <c r="AO38" s="20"/>
      <c r="AP38" s="37"/>
      <c r="AQ38" s="19"/>
      <c r="AR38" s="19"/>
      <c r="AS38" s="19"/>
    </row>
    <row r="39" spans="1:45" ht="15.75" customHeight="1" x14ac:dyDescent="0.35">
      <c r="A39" s="18" t="str">
        <f t="shared" si="0"/>
        <v>liyz@inspur.com</v>
      </c>
      <c r="B39" s="18" t="str">
        <f t="shared" si="1"/>
        <v>suncht@inspur.com;;kanhx@inspur.com;;kangzp@inspur.com;tangjing@inspur.com;</v>
      </c>
      <c r="C39" s="19" t="str">
        <f t="shared" si="2"/>
        <v>云服务集团FY2016业务数据</v>
      </c>
      <c r="D39" s="20" t="str">
        <f t="shared" si="3"/>
        <v>李总，
      您好! 附件为贵单位本财年CSG签单/回款数据、CSG业务揭示，请查阅。
            云服务集团市场部</v>
      </c>
      <c r="E39" s="56" t="str">
        <f t="shared" si="4"/>
        <v>F:\工作\3浪潮云服务\市场部\本次发送\工作表合并\金融行业部.xlsx</v>
      </c>
      <c r="F39" s="37" t="s">
        <v>203</v>
      </c>
      <c r="G39" s="30" t="s">
        <v>183</v>
      </c>
      <c r="H39" s="61" t="str">
        <f t="shared" si="5"/>
        <v/>
      </c>
      <c r="I39" s="61"/>
      <c r="J39" s="36"/>
      <c r="K39" s="38"/>
      <c r="L39" s="38"/>
      <c r="M39" s="38"/>
      <c r="N39" s="49" t="s">
        <v>203</v>
      </c>
      <c r="O39" s="37" t="s">
        <v>338</v>
      </c>
      <c r="P39" s="19"/>
      <c r="Q39" s="23" t="s">
        <v>337</v>
      </c>
      <c r="R39" s="19"/>
      <c r="S39" s="53" t="s">
        <v>203</v>
      </c>
      <c r="T39" s="37" t="s">
        <v>340</v>
      </c>
      <c r="U39" s="50" t="s">
        <v>303</v>
      </c>
      <c r="V39" s="19"/>
      <c r="W39" s="19">
        <v>13905317501</v>
      </c>
      <c r="X39" s="23" t="s">
        <v>339</v>
      </c>
      <c r="Y39" s="19"/>
      <c r="Z39" s="68" t="s">
        <v>512</v>
      </c>
      <c r="AA39" s="37" t="s">
        <v>215</v>
      </c>
      <c r="AB39" s="65" t="s">
        <v>183</v>
      </c>
      <c r="AC39" s="19"/>
      <c r="AD39" s="23" t="s">
        <v>231</v>
      </c>
      <c r="AE39" s="19"/>
      <c r="AF39" s="37"/>
      <c r="AG39" s="23"/>
      <c r="AH39" s="23" t="str">
        <f t="shared" si="6"/>
        <v>;kanhx@inspur.com;</v>
      </c>
      <c r="AI39" s="35" t="s">
        <v>183</v>
      </c>
      <c r="AJ39" s="35" t="s">
        <v>183</v>
      </c>
      <c r="AK39" s="54" t="s">
        <v>203</v>
      </c>
      <c r="AL39" s="37"/>
      <c r="AM39" s="23"/>
      <c r="AN39" s="19"/>
      <c r="AO39" s="20"/>
      <c r="AP39" s="37"/>
      <c r="AQ39" s="19"/>
      <c r="AR39" s="19"/>
      <c r="AS39" s="19"/>
    </row>
    <row r="40" spans="1:45" ht="15.75" customHeight="1" x14ac:dyDescent="0.35">
      <c r="A40" s="18" t="str">
        <f t="shared" si="0"/>
        <v>jingyx@inspur.com</v>
      </c>
      <c r="B40" s="18" t="str">
        <f t="shared" si="1"/>
        <v>huhg@inspur.com;;zhanglinjun@inspur.com;;kangzp@inspur.com;tangjing@inspur.com;</v>
      </c>
      <c r="C40" s="19" t="str">
        <f t="shared" si="2"/>
        <v>云服务集团FY2016业务数据</v>
      </c>
      <c r="D40" s="20" t="str">
        <f t="shared" si="3"/>
        <v>井总，
      您好! 附件为贵单位本财年CSG签单/回款数据、CSG业务揭示，请查阅。
            云服务集团市场部</v>
      </c>
      <c r="E40" s="56" t="str">
        <f t="shared" si="4"/>
        <v>F:\工作\3浪潮云服务\市场部\本次发送\工作表合并\大企业市场部.xlsx</v>
      </c>
      <c r="F40" s="37" t="s">
        <v>315</v>
      </c>
      <c r="G40" s="30" t="s">
        <v>183</v>
      </c>
      <c r="H40" s="61" t="str">
        <f t="shared" si="5"/>
        <v/>
      </c>
      <c r="I40" s="61"/>
      <c r="J40" s="36"/>
      <c r="K40" s="38"/>
      <c r="L40" s="38"/>
      <c r="M40" s="38"/>
      <c r="N40" s="49" t="s">
        <v>315</v>
      </c>
      <c r="O40" s="37" t="s">
        <v>240</v>
      </c>
      <c r="P40" s="19"/>
      <c r="Q40" s="23" t="s">
        <v>314</v>
      </c>
      <c r="R40" s="19"/>
      <c r="S40" s="53" t="s">
        <v>315</v>
      </c>
      <c r="T40" s="37" t="s">
        <v>326</v>
      </c>
      <c r="U40" s="50" t="s">
        <v>327</v>
      </c>
      <c r="V40" s="19"/>
      <c r="W40" s="19">
        <v>13911226521</v>
      </c>
      <c r="X40" s="23" t="s">
        <v>325</v>
      </c>
      <c r="Y40" s="19"/>
      <c r="Z40" s="68" t="s">
        <v>515</v>
      </c>
      <c r="AA40" s="37" t="s">
        <v>216</v>
      </c>
      <c r="AB40" s="65" t="s">
        <v>183</v>
      </c>
      <c r="AC40" s="19"/>
      <c r="AD40" s="23" t="s">
        <v>233</v>
      </c>
      <c r="AE40" s="19"/>
      <c r="AF40" s="37"/>
      <c r="AG40" s="23"/>
      <c r="AH40" s="23" t="str">
        <f t="shared" si="6"/>
        <v>;zhanglinjun@inspur.com;</v>
      </c>
      <c r="AI40" s="35" t="s">
        <v>183</v>
      </c>
      <c r="AJ40" s="35" t="s">
        <v>183</v>
      </c>
      <c r="AK40" s="54" t="s">
        <v>315</v>
      </c>
      <c r="AL40" s="37"/>
      <c r="AM40" s="23"/>
      <c r="AN40" s="19"/>
      <c r="AO40" s="20"/>
      <c r="AP40" s="37"/>
      <c r="AQ40" s="19"/>
      <c r="AR40" s="19"/>
      <c r="AS40" s="19"/>
    </row>
    <row r="41" spans="1:45" ht="15.75" customHeight="1" x14ac:dyDescent="0.35">
      <c r="A41" s="18" t="str">
        <f t="shared" si="0"/>
        <v>zhengdw@inspur.com</v>
      </c>
      <c r="B41" s="18" t="str">
        <f t="shared" si="1"/>
        <v>yanggp@inspur.com;;kangzp@inspur.com;tangjing@inspur.com;</v>
      </c>
      <c r="C41" s="19" t="str">
        <f t="shared" si="2"/>
        <v>云服务集团FY2016业务数据</v>
      </c>
      <c r="D41" s="20" t="str">
        <f t="shared" si="3"/>
        <v>郑总，
      您好! 附件为贵单位本财年CSG签单/回款数据、CSG业务揭示，请查阅。
            云服务集团市场部</v>
      </c>
      <c r="E41" s="56" t="str">
        <f t="shared" si="4"/>
        <v>F:\工作\3浪潮云服务\市场部\本次发送\工作表合并\建筑行业部.xlsx</v>
      </c>
      <c r="F41" s="37" t="s">
        <v>411</v>
      </c>
      <c r="G41" s="39"/>
      <c r="H41" s="61" t="str">
        <f t="shared" si="5"/>
        <v/>
      </c>
      <c r="I41" s="61"/>
      <c r="J41" s="36"/>
      <c r="K41" s="38"/>
      <c r="L41" s="38"/>
      <c r="M41" s="38"/>
      <c r="N41" s="49" t="s">
        <v>411</v>
      </c>
      <c r="O41" s="37" t="s">
        <v>441</v>
      </c>
      <c r="P41" s="19"/>
      <c r="Q41" s="23" t="s">
        <v>442</v>
      </c>
      <c r="R41" s="19"/>
      <c r="S41" s="53" t="s">
        <v>411</v>
      </c>
      <c r="T41" s="37" t="s">
        <v>412</v>
      </c>
      <c r="U41" s="50" t="s">
        <v>413</v>
      </c>
      <c r="V41" s="19"/>
      <c r="W41" s="19">
        <v>18618357088</v>
      </c>
      <c r="X41" s="23" t="s">
        <v>414</v>
      </c>
      <c r="Y41" s="19"/>
      <c r="Z41" s="68"/>
      <c r="AA41" s="37"/>
      <c r="AB41" s="65" t="s">
        <v>183</v>
      </c>
      <c r="AC41" s="19"/>
      <c r="AD41" s="23"/>
      <c r="AE41" s="19"/>
      <c r="AF41" s="37"/>
      <c r="AG41" s="23"/>
      <c r="AH41" s="23"/>
      <c r="AI41" s="35"/>
      <c r="AJ41" s="35" t="s">
        <v>183</v>
      </c>
      <c r="AK41" s="54"/>
      <c r="AL41" s="37"/>
      <c r="AM41" s="23"/>
      <c r="AN41" s="19"/>
      <c r="AO41" s="20"/>
      <c r="AP41" s="37"/>
      <c r="AQ41" s="19"/>
      <c r="AR41" s="19"/>
      <c r="AS41" s="19"/>
    </row>
  </sheetData>
  <autoFilter ref="A1:AS1"/>
  <phoneticPr fontId="6" type="noConversion"/>
  <hyperlinks>
    <hyperlink ref="AM22" r:id="rId1"/>
    <hyperlink ref="AM37" r:id="rId2"/>
    <hyperlink ref="AG26" r:id="rId3"/>
    <hyperlink ref="AM35" r:id="rId4"/>
    <hyperlink ref="AG25" r:id="rId5"/>
    <hyperlink ref="X25" r:id="rId6"/>
    <hyperlink ref="X13" r:id="rId7"/>
    <hyperlink ref="X40" r:id="rId8"/>
    <hyperlink ref="AS22" r:id="rId9"/>
    <hyperlink ref="X19" r:id="rId10"/>
    <hyperlink ref="X21" r:id="rId11"/>
    <hyperlink ref="X39" r:id="rId12"/>
    <hyperlink ref="X16" r:id="rId13"/>
    <hyperlink ref="AM25" r:id="rId14"/>
    <hyperlink ref="X18" r:id="rId15"/>
    <hyperlink ref="X22" r:id="rId16"/>
    <hyperlink ref="AG7" r:id="rId17"/>
    <hyperlink ref="X4" r:id="rId18"/>
    <hyperlink ref="X11" r:id="rId19"/>
    <hyperlink ref="X23" r:id="rId20"/>
    <hyperlink ref="X41" r:id="rId21"/>
    <hyperlink ref="X26" r:id="rId22"/>
    <hyperlink ref="X9" r:id="rId23"/>
    <hyperlink ref="X32" r:id="rId24"/>
    <hyperlink ref="X20" r:id="rId25"/>
    <hyperlink ref="X37" r:id="rId26"/>
    <hyperlink ref="X38" r:id="rId27"/>
    <hyperlink ref="X30" r:id="rId28"/>
    <hyperlink ref="K2" r:id="rId29"/>
  </hyperlinks>
  <pageMargins left="0.7" right="0.7" top="0.75" bottom="0.75" header="0.3" footer="0.3"/>
  <pageSetup paperSize="9" orientation="portrait" r:id="rId30"/>
  <drawing r:id="rId31"/>
  <legacyDrawing r:id="rId3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5185" r:id="rId33" name="Button 1">
              <controlPr defaultSize="0" print="0" autoFill="0" autoPict="0" macro="[0]!批量发送邮件">
                <anchor moveWithCells="1">
                  <from>
                    <xdr:col>1</xdr:col>
                    <xdr:colOff>371475</xdr:colOff>
                    <xdr:row>0</xdr:row>
                    <xdr:rowOff>19050</xdr:rowOff>
                  </from>
                  <to>
                    <xdr:col>1</xdr:col>
                    <xdr:colOff>857250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7"/>
  <sheetViews>
    <sheetView workbookViewId="0">
      <selection activeCell="B7" sqref="B7:D7"/>
    </sheetView>
  </sheetViews>
  <sheetFormatPr defaultRowHeight="13.5" x14ac:dyDescent="0.15"/>
  <sheetData>
    <row r="1" spans="1:4" ht="16.5" x14ac:dyDescent="0.15">
      <c r="A1" s="46" t="s">
        <v>70</v>
      </c>
      <c r="B1" s="1" t="s">
        <v>32</v>
      </c>
      <c r="C1" s="1">
        <v>18651623927</v>
      </c>
      <c r="D1" s="23" t="s">
        <v>33</v>
      </c>
    </row>
    <row r="2" spans="1:4" ht="16.5" x14ac:dyDescent="0.15">
      <c r="A2" s="46" t="s">
        <v>71</v>
      </c>
      <c r="B2" s="1" t="s">
        <v>12</v>
      </c>
      <c r="C2" s="1">
        <v>18610772799</v>
      </c>
      <c r="D2" s="23" t="s">
        <v>13</v>
      </c>
    </row>
    <row r="3" spans="1:4" ht="16.5" x14ac:dyDescent="0.15">
      <c r="A3" s="47" t="s">
        <v>81</v>
      </c>
      <c r="B3" s="1" t="s">
        <v>48</v>
      </c>
      <c r="C3" s="1">
        <v>18605319139</v>
      </c>
      <c r="D3" s="23" t="s">
        <v>49</v>
      </c>
    </row>
    <row r="4" spans="1:4" ht="16.5" x14ac:dyDescent="0.15">
      <c r="A4" s="46" t="s">
        <v>72</v>
      </c>
      <c r="B4" s="1" t="s">
        <v>58</v>
      </c>
      <c r="C4" s="1">
        <v>18866808217</v>
      </c>
      <c r="D4" s="23" t="s">
        <v>59</v>
      </c>
    </row>
    <row r="5" spans="1:4" ht="16.5" x14ac:dyDescent="0.15">
      <c r="A5" s="46" t="s">
        <v>75</v>
      </c>
      <c r="B5" s="1" t="s">
        <v>10</v>
      </c>
      <c r="C5" s="1">
        <v>13349090001</v>
      </c>
      <c r="D5" s="23" t="s">
        <v>11</v>
      </c>
    </row>
    <row r="6" spans="1:4" ht="16.5" x14ac:dyDescent="0.15">
      <c r="A6" s="46" t="s">
        <v>74</v>
      </c>
      <c r="B6" s="1" t="s">
        <v>26</v>
      </c>
      <c r="C6" s="1">
        <v>13387554488</v>
      </c>
      <c r="D6" s="23" t="s">
        <v>27</v>
      </c>
    </row>
    <row r="7" spans="1:4" ht="16.5" x14ac:dyDescent="0.15">
      <c r="A7" s="46" t="s">
        <v>87</v>
      </c>
      <c r="B7" s="1" t="s">
        <v>46</v>
      </c>
      <c r="C7" s="1">
        <v>18660106708</v>
      </c>
      <c r="D7" s="23" t="s">
        <v>47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W45"/>
  <sheetViews>
    <sheetView showGridLines="0" zoomScale="90" zoomScaleNormal="90" workbookViewId="0">
      <selection activeCell="F2" sqref="F2"/>
    </sheetView>
  </sheetViews>
  <sheetFormatPr defaultRowHeight="15.75" customHeight="1" outlineLevelCol="1" x14ac:dyDescent="0.15"/>
  <cols>
    <col min="1" max="1" width="4.25" style="24" customWidth="1"/>
    <col min="2" max="2" width="7.625" style="24" customWidth="1"/>
    <col min="3" max="3" width="9.5" style="26" customWidth="1"/>
    <col min="4" max="4" width="17.125" style="26" customWidth="1"/>
    <col min="5" max="5" width="11.5" style="24" customWidth="1"/>
    <col min="6" max="6" width="7.5" style="29" customWidth="1"/>
    <col min="7" max="7" width="2.875" style="40" customWidth="1"/>
    <col min="8" max="8" width="3.625" style="40" customWidth="1"/>
    <col min="9" max="9" width="7.5" style="40" customWidth="1"/>
    <col min="10" max="10" width="16.25" style="26" customWidth="1"/>
    <col min="11" max="11" width="12" style="40" customWidth="1"/>
    <col min="12" max="12" width="6" style="26" customWidth="1"/>
    <col min="13" max="13" width="14.125" style="26" customWidth="1"/>
    <col min="14" max="14" width="11.875" style="26" customWidth="1"/>
    <col min="15" max="15" width="12.625" style="26" customWidth="1"/>
    <col min="16" max="17" width="8.875" style="26" customWidth="1"/>
    <col min="18" max="18" width="4.5" style="41" customWidth="1"/>
    <col min="19" max="19" width="6.375" style="29" customWidth="1"/>
    <col min="20" max="20" width="10.75" style="26" customWidth="1"/>
    <col min="21" max="21" width="5.25" style="42" customWidth="1"/>
    <col min="22" max="22" width="10.75" style="26" hidden="1" customWidth="1"/>
    <col min="23" max="23" width="4.5" style="43" customWidth="1"/>
    <col min="24" max="24" width="5.5" style="29" customWidth="1"/>
    <col min="25" max="25" width="5.75" style="26" customWidth="1"/>
    <col min="26" max="26" width="3.25" style="26" hidden="1" customWidth="1"/>
    <col min="27" max="27" width="12.625" style="26" customWidth="1"/>
    <col min="28" max="28" width="4.625" style="25" customWidth="1"/>
    <col min="29" max="29" width="12" style="26" hidden="1" customWidth="1"/>
    <col min="30" max="30" width="5.25" style="24" customWidth="1"/>
    <col min="31" max="31" width="8" style="26" customWidth="1"/>
    <col min="32" max="32" width="7.25" style="26" hidden="1" customWidth="1"/>
    <col min="33" max="33" width="12.25" style="26" hidden="1" customWidth="1"/>
    <col min="34" max="34" width="5.125" style="25" customWidth="1"/>
    <col min="35" max="35" width="8.25" style="26" hidden="1" customWidth="1"/>
    <col min="36" max="36" width="7" style="26" customWidth="1" outlineLevel="1"/>
    <col min="37" max="37" width="3.875" style="25" customWidth="1" outlineLevel="1"/>
    <col min="38" max="38" width="5.125" style="25" customWidth="1" outlineLevel="1"/>
    <col min="39" max="39" width="3.5" style="26" customWidth="1" outlineLevel="1"/>
    <col min="40" max="40" width="2.75" style="26" customWidth="1" outlineLevel="1"/>
    <col min="41" max="41" width="10.875" style="26" customWidth="1" outlineLevel="1"/>
    <col min="42" max="42" width="7.75" style="29" customWidth="1" outlineLevel="1"/>
    <col min="43" max="43" width="5.625" style="25" customWidth="1" outlineLevel="1"/>
    <col min="44" max="44" width="7.5" style="26" customWidth="1" outlineLevel="1"/>
    <col min="45" max="45" width="12.875" style="43" customWidth="1" outlineLevel="1"/>
    <col min="46" max="46" width="6.25" style="26" customWidth="1" outlineLevel="1"/>
    <col min="47" max="47" width="7" style="26" customWidth="1" outlineLevel="1"/>
    <col min="48" max="48" width="14.5" style="26" customWidth="1" outlineLevel="1"/>
    <col min="49" max="49" width="9" style="26" customWidth="1" outlineLevel="1"/>
    <col min="50" max="16384" width="9" style="26"/>
  </cols>
  <sheetData>
    <row r="1" spans="1:49" s="29" customFormat="1" ht="15.75" customHeight="1" x14ac:dyDescent="0.35">
      <c r="A1" s="66" t="s">
        <v>3</v>
      </c>
      <c r="B1" s="66" t="s">
        <v>4</v>
      </c>
      <c r="C1" s="14" t="s">
        <v>0</v>
      </c>
      <c r="D1" s="14" t="s">
        <v>589</v>
      </c>
      <c r="E1" s="66" t="s">
        <v>2</v>
      </c>
      <c r="F1" s="14" t="s">
        <v>6</v>
      </c>
      <c r="G1" s="14"/>
      <c r="H1" s="14" t="s">
        <v>188</v>
      </c>
      <c r="I1" s="14" t="s">
        <v>271</v>
      </c>
      <c r="J1" s="14" t="s">
        <v>245</v>
      </c>
      <c r="K1" s="14" t="s">
        <v>0</v>
      </c>
      <c r="L1" s="14" t="s">
        <v>579</v>
      </c>
      <c r="M1" s="14" t="s">
        <v>588</v>
      </c>
      <c r="N1" s="14" t="s">
        <v>581</v>
      </c>
      <c r="O1" s="14" t="s">
        <v>582</v>
      </c>
      <c r="P1" s="14" t="s">
        <v>583</v>
      </c>
      <c r="Q1" s="14" t="s">
        <v>587</v>
      </c>
      <c r="R1" s="10" t="s">
        <v>113</v>
      </c>
      <c r="S1" s="10" t="s">
        <v>158</v>
      </c>
      <c r="T1" s="11" t="s">
        <v>8</v>
      </c>
      <c r="U1" s="12" t="s">
        <v>244</v>
      </c>
      <c r="V1" s="10" t="s">
        <v>9</v>
      </c>
      <c r="W1" s="51" t="s">
        <v>140</v>
      </c>
      <c r="X1" s="13" t="s">
        <v>156</v>
      </c>
      <c r="Y1" s="13" t="s">
        <v>273</v>
      </c>
      <c r="Z1" s="13" t="s">
        <v>141</v>
      </c>
      <c r="AA1" s="13" t="s">
        <v>63</v>
      </c>
      <c r="AB1" s="44" t="s">
        <v>142</v>
      </c>
      <c r="AC1" s="13" t="s">
        <v>9</v>
      </c>
      <c r="AD1" s="66" t="s">
        <v>5</v>
      </c>
      <c r="AE1" s="14" t="s">
        <v>157</v>
      </c>
      <c r="AF1" s="14" t="s">
        <v>62</v>
      </c>
      <c r="AG1" s="14" t="s">
        <v>63</v>
      </c>
      <c r="AH1" s="55" t="s">
        <v>64</v>
      </c>
      <c r="AI1" s="14" t="s">
        <v>159</v>
      </c>
      <c r="AJ1" s="14" t="s">
        <v>243</v>
      </c>
      <c r="AK1" s="55" t="s">
        <v>244</v>
      </c>
      <c r="AL1" s="55" t="s">
        <v>269</v>
      </c>
      <c r="AM1" s="27" t="s">
        <v>183</v>
      </c>
      <c r="AN1" s="14"/>
      <c r="AO1" s="14" t="s">
        <v>5</v>
      </c>
      <c r="AP1" s="14" t="s">
        <v>259</v>
      </c>
      <c r="AQ1" s="55" t="s">
        <v>260</v>
      </c>
      <c r="AR1" s="14" t="s">
        <v>262</v>
      </c>
      <c r="AS1" s="28" t="s">
        <v>301</v>
      </c>
      <c r="AT1" s="14"/>
      <c r="AU1" s="14"/>
      <c r="AV1" s="14"/>
      <c r="AW1" s="14"/>
    </row>
    <row r="2" spans="1:49" ht="111.75" customHeight="1" x14ac:dyDescent="0.35">
      <c r="A2" s="15" t="str">
        <f t="shared" ref="A2" si="0">IF(ISBLANK(AB2),"",AB2)</f>
        <v>shenfh@inspur.com</v>
      </c>
      <c r="B2" s="15" t="str">
        <f>U2&amp;";"&amp;AL2</f>
        <v>shenfh@inspur.com;;shenfh@inspur.com;</v>
      </c>
      <c r="C2" s="16" t="str">
        <f>$K$2</f>
        <v>FY2016贵部签单/回款决算明细</v>
      </c>
      <c r="D2" s="17" t="str">
        <f>$J$3&amp;L2&amp;$J$4&amp;N2&amp;$J$5&amp;Q2&amp;$J$6&amp;O2&amp;$J$7&amp;P2&amp;$J$8</f>
        <v>&lt;font face="微软雅黑" size=”11.0pt” color="黑色"&gt;A总&lt;br/&gt;&amp;nbsp;&amp;nbsp;&amp;nbsp;&amp;nbsp;&amp;nbsp;      
    您好! 这是表格之前的正文。&lt;br/&gt;&lt;/font&gt;
&lt;head&gt;
&lt;meta http-equiv=Content-Type content=""text/html; charset=gb2312""&gt;
&lt;meta name=ProgId content=Excel.Sheet&gt;
&lt;meta name=Generator content=""Microsoft Excel 15""&gt;
&lt;link rel=File-List href=""She1.files/filelist.xml""&gt;
&lt;style id=""ToHtml_32014_Styles""&gt;
&lt;!--table
 {mso-displayed-decimal-separator:""\."";
 mso-displayed-thousand-separator:""\,"";}
.font532014
 {color:windowtext;
 font-size:9.0pt;
 font-weight:400;
 font-style:normal;
 text-decoration:none;
 font-family:宋体;
 mso-generic-font-family:auto;
 mso-font-charset:134;}
.xl1532014
 {padding-top:1px;
 padding-right:1px;
 padding-left:1px;
 mso-ignore:padding;
 color:black;
 font-size:11.0pt;
 font-weight:400;
 font-style:normal;
 text-decoration:none;
 font-family:宋体;
 mso-generic-font-family:auto;
 mso-font-charset:134;
 mso-number-format:General;
 text-align:general;
 vertical-align:bottom;
 mso-background-source:auto;
 mso-pattern:auto;
 white-space:nowrap;}
.xl6332014
 {padding-top:1px;
 padding-right:1px;
 padding-left:1px;
 mso-ignore:padding;
 color:white;
 font-size:11.0pt;
 font-weight:400;
 font-style:normal;
 text-decoration:none;
 font-family:微软雅黑, sans-serif;
 mso-font-charset:134;
 mso-number-format:General;
 text-align:center;
 vertical-align:bottom;
 border:.5pt solid windowtext;
 background:#0070C0;
 mso-pattern:black none;
 white-space:nowrap;}
.xl6432014
 {padding-top:1px;
 padding-right:1px;
 padding-left:1px;
 mso-ignore:padding;
 color:black;
 font-size:11.0pt;
 font-weight:400;
 font-style:normal;
 text-decoration:none;
 font-family:微软雅黑, sans-serif;
 mso-font-charset:134;
 mso-number-format:General;
 text-align:center;
 vertical-align:bottom;
 border:.5pt solid windowtext;
 mso-background-source:auto;
 mso-pattern:auto;
 white-space:nowrap;}
ruby
 {ruby-align:left;}
rt
 {color:windowtext;
 font-size:9.0pt;
 font-weight:400;
 font-style:normal;
 text-decoration:none;
 font-family:宋体;
 mso-generic-font-family:auto;
 mso-font-charset:134;
 mso-char-type:none;}
--&gt;
&lt;/style&gt;
&lt;/head&gt;
&lt;body&gt;
&lt;!--[if !excel]&gt;　　&lt;![endif]--&gt;
&lt;!--下列信息由 Microsoft Excel 的发布为网页向导生成。--&gt;
&lt;!--如果同一条目从 Excel 中重新发布，则所有位于 DIV 标记之间的信息均将被替换。--&gt;
&lt;!-----------------------------&gt;
&lt;!--“从 EXCEL 发布网页”向导开始--&gt;
&lt;!-----------------------------&gt;
&lt;div style="text-indent:2em;" id=""ToHtml_32014"" align=center x:publishsource=""Excel""&gt;
&lt;table border=0 cellpadding=0 cellspacing=0 width=308 style='border-collapse:
 collapse;table-layout:fixed;width:231pt'&gt;
 &lt;col width=131 style='mso-width-source:userset;mso-width-alt:4192;width:98pt'&gt;
 &lt;col width=93 style='mso-width-source:userset;mso-width-alt:2976;width:70pt'&gt;
 &lt;col width=84 style='mso-width-source:userset;mso-width-alt:2688;width:63pt'&gt;
 &lt;tr height=22 style='height:16.5pt'&gt;
  &lt;td height=22 class=xl6332014 width=131 style='height:16.5pt;width:98pt'&gt;sdfas阿斯顿发生&lt;/td&gt;
  &lt;td class=xl6332014 width=93 style='border-left:none;width:70pt'&gt;阿斯蒂芬&lt;/td&gt;
  &lt;td class=xl6332014 width=84 style='border-left:none;width:63pt'&gt;阿斯蒂芬&lt;/td&gt;
 &lt;/tr&gt;
 &lt;tr height=22 style='height:16.5pt'&gt;
  &lt;td height=22 class=xl6432014 style='height:16.5pt;border-top:none'&gt;阿斯蒂芬&lt;/td&gt;
  &lt;td class=xl6432014 style='border-top:none;border-left:none'&gt;打发&lt;/td&gt;
  &lt;td class=xl6432014 style='border-top:none;border-left:none'&gt;短松冈&lt;/td&gt;
 &lt;/tr&gt;
 &lt;tr height=22 style='height:16.5pt'&gt;
  &lt;td height=22 class=xl6432014 style='height:16.5pt;border-top:none'&gt;啥地方&lt;/td&gt;
  &lt;td class=xl6432014 style='border-top:none;border-left:none'&gt;阿斯蒂芬&lt;/td&gt;
  &lt;td class=xl6432014 style='border-top:none;border-left:none'&gt;办法&lt;/td&gt;
 &lt;/tr&gt;
 &lt;![if supportMisalignedColumns]&gt;
 &lt;tr height=0 style='display:none'&gt;
  &lt;td width=131 style='width:98pt'&gt;&lt;/td&gt;
  &lt;td width=93 style='width:70pt'&gt;&lt;/td&gt;
  &lt;td width=84 style='width:63pt'&gt;&lt;/td&gt;
 &lt;/tr&gt;
 &lt;![endif]&gt;
&lt;/table&gt;
&lt;/div&gt;&lt;font face="微软雅黑" size=”11.0pt” color="黑色"&gt;&amp;nbsp;&amp;nbsp;&amp;nbsp;&amp;nbsp;&amp;nbsp;    表格后正文&lt;br/&gt;&lt;br/&gt;&amp;nbsp;&amp;nbsp;&amp;nbsp;&amp;nbsp;&amp;nbsp;     云服务集团市场部&lt;/font&gt;</v>
      </c>
      <c r="E2" s="15" t="str">
        <f>"F:\工作\3浪潮云服务\市场部\本次发送\工作表合并\"&amp;F2&amp;".xlsx"</f>
        <v>F:\工作\3浪潮云服务\市场部\本次发送\工作表合并\测试.xlsx</v>
      </c>
      <c r="F2" s="57" t="s">
        <v>7</v>
      </c>
      <c r="G2" s="30" t="s">
        <v>183</v>
      </c>
      <c r="H2" s="60">
        <v>1</v>
      </c>
      <c r="I2" s="60"/>
      <c r="J2" s="75" t="s">
        <v>577</v>
      </c>
      <c r="K2" s="81" t="s">
        <v>578</v>
      </c>
      <c r="L2" s="81" t="s">
        <v>580</v>
      </c>
      <c r="M2" s="17" t="str">
        <f>L2&amp;"，"&amp;$N$2&amp;CHAR(10)&amp;CHAR(32)&amp;CHAR(32)&amp;CHAR(32)&amp;CHAR(32)&amp;"[表格]"&amp;CHAR(10)&amp;O2&amp;CHAR(10)&amp;P2</f>
        <v>A总，      
    您好! 这是表格之前的正文。
    [表格]
    表格后正文
     云服务集团市场部</v>
      </c>
      <c r="N2" s="79" t="s">
        <v>584</v>
      </c>
      <c r="O2" s="79" t="s">
        <v>585</v>
      </c>
      <c r="P2" s="79" t="s">
        <v>586</v>
      </c>
      <c r="Q2" s="79" t="s">
        <v>596</v>
      </c>
      <c r="R2" s="5" t="s">
        <v>174</v>
      </c>
      <c r="S2" s="6" t="s">
        <v>184</v>
      </c>
      <c r="T2" s="7">
        <v>15589965595</v>
      </c>
      <c r="U2" s="25" t="s">
        <v>299</v>
      </c>
      <c r="V2" s="6"/>
      <c r="W2" s="52"/>
      <c r="X2" s="9" t="s">
        <v>186</v>
      </c>
      <c r="Y2" s="9" t="s">
        <v>274</v>
      </c>
      <c r="Z2" s="8"/>
      <c r="AA2" s="45">
        <v>15589965595</v>
      </c>
      <c r="AB2" s="45" t="s">
        <v>299</v>
      </c>
      <c r="AC2" s="9"/>
      <c r="AD2" s="67"/>
      <c r="AE2" s="33" t="s">
        <v>185</v>
      </c>
      <c r="AF2" s="62" t="s">
        <v>183</v>
      </c>
      <c r="AG2" s="33">
        <v>15589965595</v>
      </c>
      <c r="AH2" s="23" t="s">
        <v>299</v>
      </c>
      <c r="AI2" s="34"/>
      <c r="AJ2" s="63" t="s">
        <v>183</v>
      </c>
      <c r="AK2" s="56"/>
      <c r="AL2" s="56" t="str">
        <f>AQ2&amp;";"&amp;AH2&amp;";"&amp;AK2</f>
        <v>;shenfh@inspur.com;</v>
      </c>
      <c r="AM2" s="35" t="s">
        <v>183</v>
      </c>
      <c r="AN2" s="35" t="s">
        <v>183</v>
      </c>
      <c r="AO2" s="58"/>
      <c r="AP2" s="37"/>
      <c r="AQ2" s="23"/>
      <c r="AR2" s="19"/>
      <c r="AS2" s="20"/>
      <c r="AT2" s="19"/>
      <c r="AU2" s="19"/>
      <c r="AV2" s="19"/>
      <c r="AW2" s="19"/>
    </row>
    <row r="3" spans="1:49" ht="15.75" customHeight="1" x14ac:dyDescent="0.35">
      <c r="J3" s="85" t="s">
        <v>590</v>
      </c>
      <c r="K3" s="84"/>
      <c r="R3" s="46" t="s">
        <v>65</v>
      </c>
      <c r="S3" s="1" t="s">
        <v>40</v>
      </c>
      <c r="T3" s="1">
        <v>13305319906</v>
      </c>
      <c r="U3" s="23" t="s">
        <v>41</v>
      </c>
      <c r="V3" s="21"/>
      <c r="W3" s="53" t="s">
        <v>270</v>
      </c>
      <c r="X3" s="37" t="s">
        <v>150</v>
      </c>
      <c r="Y3" s="50" t="s">
        <v>275</v>
      </c>
      <c r="Z3" s="19" t="s">
        <v>165</v>
      </c>
      <c r="AA3" s="19">
        <v>15805316658</v>
      </c>
      <c r="AB3" s="23" t="s">
        <v>304</v>
      </c>
      <c r="AC3" s="19"/>
      <c r="AD3" s="68" t="s">
        <v>270</v>
      </c>
      <c r="AE3" s="37" t="s">
        <v>444</v>
      </c>
      <c r="AF3" s="19" t="s">
        <v>66</v>
      </c>
      <c r="AG3" s="19">
        <v>18905310812</v>
      </c>
      <c r="AH3" s="23" t="s">
        <v>175</v>
      </c>
      <c r="AI3" s="19"/>
      <c r="AJ3" s="64" t="s">
        <v>183</v>
      </c>
      <c r="AK3" s="23"/>
      <c r="AL3" s="23" t="str">
        <f t="shared" ref="AL3:AL44" si="1">AQ3&amp;";"&amp;AH3&amp;";"&amp;AK3</f>
        <v>;zhuln@inspur.com;</v>
      </c>
      <c r="AM3" s="35" t="s">
        <v>183</v>
      </c>
      <c r="AN3" s="35" t="s">
        <v>183</v>
      </c>
      <c r="AO3" s="54" t="s">
        <v>65</v>
      </c>
      <c r="AP3" s="37"/>
      <c r="AQ3" s="23"/>
      <c r="AR3" s="19"/>
      <c r="AS3" s="20"/>
      <c r="AT3" s="37" t="s">
        <v>190</v>
      </c>
      <c r="AU3" s="19" t="s">
        <v>217</v>
      </c>
      <c r="AV3" s="19"/>
      <c r="AW3" s="19"/>
    </row>
    <row r="4" spans="1:49" ht="15.75" customHeight="1" x14ac:dyDescent="0.35">
      <c r="J4" s="85" t="s">
        <v>591</v>
      </c>
      <c r="R4" s="46" t="s">
        <v>67</v>
      </c>
      <c r="S4" s="1" t="s">
        <v>14</v>
      </c>
      <c r="T4" s="1">
        <v>13705316901</v>
      </c>
      <c r="U4" s="23" t="s">
        <v>15</v>
      </c>
      <c r="V4" s="21"/>
      <c r="W4" s="53" t="s">
        <v>445</v>
      </c>
      <c r="X4" s="37" t="s">
        <v>402</v>
      </c>
      <c r="Y4" s="50" t="s">
        <v>403</v>
      </c>
      <c r="Z4" s="19"/>
      <c r="AA4" s="19">
        <v>13332883876</v>
      </c>
      <c r="AB4" s="23" t="s">
        <v>401</v>
      </c>
      <c r="AC4" s="19"/>
      <c r="AD4" s="68" t="s">
        <v>445</v>
      </c>
      <c r="AE4" s="37" t="s">
        <v>446</v>
      </c>
      <c r="AF4" s="19" t="s">
        <v>68</v>
      </c>
      <c r="AG4" s="19">
        <v>13711668336</v>
      </c>
      <c r="AH4" s="23" t="s">
        <v>69</v>
      </c>
      <c r="AI4" s="19"/>
      <c r="AJ4" s="37" t="s">
        <v>191</v>
      </c>
      <c r="AK4" s="23" t="s">
        <v>218</v>
      </c>
      <c r="AL4" s="23" t="str">
        <f t="shared" si="1"/>
        <v>;siyj@inspur.com;xuwenjun@inspur.com</v>
      </c>
      <c r="AM4" s="35" t="s">
        <v>183</v>
      </c>
      <c r="AN4" s="35" t="s">
        <v>183</v>
      </c>
      <c r="AO4" s="54" t="s">
        <v>67</v>
      </c>
      <c r="AP4" s="37"/>
      <c r="AQ4" s="23"/>
      <c r="AR4" s="19"/>
      <c r="AS4" s="20"/>
      <c r="AT4" s="37"/>
      <c r="AU4" s="19"/>
      <c r="AV4" s="19"/>
      <c r="AW4" s="19"/>
    </row>
    <row r="5" spans="1:49" ht="15.75" customHeight="1" x14ac:dyDescent="0.35">
      <c r="J5" s="85" t="s">
        <v>592</v>
      </c>
      <c r="R5" s="46" t="s">
        <v>70</v>
      </c>
      <c r="S5" s="1" t="s">
        <v>46</v>
      </c>
      <c r="T5" s="1">
        <v>18660106708</v>
      </c>
      <c r="U5" s="23" t="s">
        <v>47</v>
      </c>
      <c r="V5" s="21"/>
      <c r="W5" s="53" t="s">
        <v>139</v>
      </c>
      <c r="X5" s="37" t="s">
        <v>189</v>
      </c>
      <c r="Y5" s="50" t="s">
        <v>276</v>
      </c>
      <c r="Z5" s="19" t="s">
        <v>165</v>
      </c>
      <c r="AA5" s="19">
        <v>13770728288</v>
      </c>
      <c r="AB5" s="23" t="s">
        <v>305</v>
      </c>
      <c r="AC5" s="19"/>
      <c r="AD5" s="68" t="s">
        <v>139</v>
      </c>
      <c r="AE5" s="37" t="s">
        <v>448</v>
      </c>
      <c r="AF5" s="65" t="s">
        <v>183</v>
      </c>
      <c r="AG5" s="19">
        <v>13218035620</v>
      </c>
      <c r="AH5" s="23" t="s">
        <v>176</v>
      </c>
      <c r="AI5" s="19"/>
      <c r="AJ5" s="37"/>
      <c r="AK5" s="23" t="s">
        <v>183</v>
      </c>
      <c r="AL5" s="23" t="str">
        <f t="shared" si="1"/>
        <v>;feily@inspur.com;</v>
      </c>
      <c r="AM5" s="35" t="s">
        <v>183</v>
      </c>
      <c r="AN5" s="35" t="s">
        <v>183</v>
      </c>
      <c r="AO5" s="54" t="s">
        <v>139</v>
      </c>
      <c r="AP5" s="37"/>
      <c r="AQ5" s="23"/>
      <c r="AR5" s="19"/>
      <c r="AS5" s="20"/>
      <c r="AT5" s="37"/>
      <c r="AU5" s="19"/>
      <c r="AV5" s="19"/>
      <c r="AW5" s="19"/>
    </row>
    <row r="6" spans="1:49" ht="15.75" customHeight="1" x14ac:dyDescent="0.35">
      <c r="J6" s="85" t="s">
        <v>593</v>
      </c>
      <c r="R6" s="46" t="s">
        <v>71</v>
      </c>
      <c r="S6" s="1" t="s">
        <v>12</v>
      </c>
      <c r="T6" s="1">
        <v>18610772799</v>
      </c>
      <c r="U6" s="23" t="s">
        <v>13</v>
      </c>
      <c r="V6" s="21"/>
      <c r="W6" s="53" t="s">
        <v>138</v>
      </c>
      <c r="X6" s="37" t="s">
        <v>151</v>
      </c>
      <c r="Y6" s="50" t="s">
        <v>289</v>
      </c>
      <c r="Z6" s="19" t="s">
        <v>143</v>
      </c>
      <c r="AA6" s="19">
        <v>18610161077</v>
      </c>
      <c r="AB6" s="23" t="s">
        <v>167</v>
      </c>
      <c r="AC6" s="19"/>
      <c r="AD6" s="68" t="s">
        <v>138</v>
      </c>
      <c r="AE6" s="37" t="s">
        <v>450</v>
      </c>
      <c r="AF6" s="19" t="s">
        <v>66</v>
      </c>
      <c r="AG6" s="19">
        <v>15699733336</v>
      </c>
      <c r="AH6" s="23" t="s">
        <v>516</v>
      </c>
      <c r="AI6" s="19"/>
      <c r="AJ6" s="37"/>
      <c r="AK6" s="23" t="s">
        <v>183</v>
      </c>
      <c r="AL6" s="23" t="str">
        <f t="shared" si="1"/>
        <v>;liu_lin@inspur.com;</v>
      </c>
      <c r="AM6" s="35" t="s">
        <v>183</v>
      </c>
      <c r="AN6" s="35" t="s">
        <v>183</v>
      </c>
      <c r="AO6" s="54" t="s">
        <v>138</v>
      </c>
      <c r="AP6" s="37"/>
      <c r="AQ6" s="23"/>
      <c r="AR6" s="19"/>
      <c r="AS6" s="20"/>
      <c r="AT6" s="37"/>
      <c r="AU6" s="19"/>
      <c r="AV6" s="19"/>
      <c r="AW6" s="19"/>
    </row>
    <row r="7" spans="1:49" ht="15.75" customHeight="1" x14ac:dyDescent="0.35">
      <c r="J7" s="85" t="s">
        <v>594</v>
      </c>
      <c r="R7" s="47" t="s">
        <v>81</v>
      </c>
      <c r="S7" s="1" t="s">
        <v>48</v>
      </c>
      <c r="T7" s="1">
        <v>18605319139</v>
      </c>
      <c r="U7" s="23" t="s">
        <v>49</v>
      </c>
      <c r="V7" s="21"/>
      <c r="W7" s="53" t="s">
        <v>137</v>
      </c>
      <c r="X7" s="37" t="s">
        <v>396</v>
      </c>
      <c r="Y7" s="50" t="s">
        <v>399</v>
      </c>
      <c r="Z7" s="19" t="s">
        <v>398</v>
      </c>
      <c r="AA7" s="19">
        <v>18980746446</v>
      </c>
      <c r="AB7" s="23" t="s">
        <v>397</v>
      </c>
      <c r="AC7" s="19"/>
      <c r="AD7" s="68" t="s">
        <v>137</v>
      </c>
      <c r="AE7" s="37" t="s">
        <v>452</v>
      </c>
      <c r="AF7" s="19" t="s">
        <v>80</v>
      </c>
      <c r="AG7" s="19">
        <v>18782947519</v>
      </c>
      <c r="AH7" s="23" t="s">
        <v>177</v>
      </c>
      <c r="AI7" s="19"/>
      <c r="AJ7" s="37" t="s">
        <v>517</v>
      </c>
      <c r="AK7" s="23" t="s">
        <v>400</v>
      </c>
      <c r="AL7" s="23" t="str">
        <f t="shared" si="1"/>
        <v>;pengmin@inspur.com;caomi@inspur.com;dumenglan@inspur.com</v>
      </c>
      <c r="AM7" s="35" t="s">
        <v>183</v>
      </c>
      <c r="AN7" s="35" t="s">
        <v>183</v>
      </c>
      <c r="AO7" s="54" t="s">
        <v>137</v>
      </c>
      <c r="AP7" s="37"/>
      <c r="AQ7" s="23"/>
      <c r="AR7" s="19"/>
      <c r="AS7" s="20"/>
      <c r="AT7" s="37"/>
      <c r="AU7" s="19"/>
      <c r="AV7" s="19"/>
      <c r="AW7" s="19"/>
    </row>
    <row r="8" spans="1:49" ht="15.75" customHeight="1" x14ac:dyDescent="0.35">
      <c r="J8" s="85" t="s">
        <v>595</v>
      </c>
      <c r="R8" s="46" t="s">
        <v>72</v>
      </c>
      <c r="S8" s="1" t="s">
        <v>58</v>
      </c>
      <c r="T8" s="1">
        <v>18866808217</v>
      </c>
      <c r="U8" s="23" t="s">
        <v>59</v>
      </c>
      <c r="V8" s="21"/>
      <c r="W8" s="53" t="s">
        <v>136</v>
      </c>
      <c r="X8" s="37" t="s">
        <v>152</v>
      </c>
      <c r="Y8" s="50" t="s">
        <v>277</v>
      </c>
      <c r="Z8" s="19"/>
      <c r="AA8" s="19">
        <v>13605319537</v>
      </c>
      <c r="AB8" s="23" t="s">
        <v>168</v>
      </c>
      <c r="AC8" s="19"/>
      <c r="AD8" s="68" t="s">
        <v>136</v>
      </c>
      <c r="AE8" s="37" t="s">
        <v>454</v>
      </c>
      <c r="AF8" s="19" t="s">
        <v>73</v>
      </c>
      <c r="AG8" s="19">
        <v>13343823810</v>
      </c>
      <c r="AH8" s="23" t="s">
        <v>178</v>
      </c>
      <c r="AI8" s="19"/>
      <c r="AJ8" s="37"/>
      <c r="AK8" s="23" t="s">
        <v>183</v>
      </c>
      <c r="AL8" s="23" t="str">
        <f t="shared" si="1"/>
        <v>;suyj@inspur.com;</v>
      </c>
      <c r="AM8" s="35" t="s">
        <v>183</v>
      </c>
      <c r="AN8" s="35" t="s">
        <v>183</v>
      </c>
      <c r="AO8" s="54" t="s">
        <v>136</v>
      </c>
      <c r="AP8" s="37"/>
      <c r="AQ8" s="23"/>
      <c r="AR8" s="19"/>
      <c r="AS8" s="20"/>
      <c r="AT8" s="37"/>
      <c r="AU8" s="19"/>
      <c r="AV8" s="19"/>
      <c r="AW8" s="19"/>
    </row>
    <row r="9" spans="1:49" ht="15.75" customHeight="1" x14ac:dyDescent="0.35">
      <c r="R9" s="46" t="s">
        <v>75</v>
      </c>
      <c r="S9" s="1" t="s">
        <v>10</v>
      </c>
      <c r="T9" s="1">
        <v>13349090001</v>
      </c>
      <c r="U9" s="23" t="s">
        <v>11</v>
      </c>
      <c r="V9" s="21"/>
      <c r="W9" s="53" t="s">
        <v>135</v>
      </c>
      <c r="X9" s="37" t="s">
        <v>423</v>
      </c>
      <c r="Y9" s="50" t="s">
        <v>424</v>
      </c>
      <c r="Z9" s="19"/>
      <c r="AA9" s="19">
        <v>18956068989</v>
      </c>
      <c r="AB9" s="23" t="s">
        <v>425</v>
      </c>
      <c r="AC9" s="19"/>
      <c r="AD9" s="68" t="s">
        <v>135</v>
      </c>
      <c r="AE9" s="37" t="s">
        <v>457</v>
      </c>
      <c r="AF9" s="19" t="s">
        <v>66</v>
      </c>
      <c r="AG9" s="19">
        <v>15656054271</v>
      </c>
      <c r="AH9" s="23" t="s">
        <v>76</v>
      </c>
      <c r="AI9" s="19"/>
      <c r="AJ9" s="37"/>
      <c r="AK9" s="23" t="s">
        <v>183</v>
      </c>
      <c r="AL9" s="23" t="str">
        <f t="shared" si="1"/>
        <v>;hongyuan@inspur.com;</v>
      </c>
      <c r="AM9" s="35" t="s">
        <v>183</v>
      </c>
      <c r="AN9" s="35" t="s">
        <v>183</v>
      </c>
      <c r="AO9" s="54" t="s">
        <v>135</v>
      </c>
      <c r="AP9" s="37"/>
      <c r="AQ9" s="23"/>
      <c r="AR9" s="19"/>
      <c r="AS9" s="20"/>
      <c r="AT9" s="37"/>
      <c r="AU9" s="19"/>
      <c r="AV9" s="19"/>
      <c r="AW9" s="19"/>
    </row>
    <row r="10" spans="1:49" ht="15.75" customHeight="1" x14ac:dyDescent="0.35">
      <c r="R10" s="46" t="s">
        <v>74</v>
      </c>
      <c r="S10" s="1" t="s">
        <v>26</v>
      </c>
      <c r="T10" s="1">
        <v>13387554488</v>
      </c>
      <c r="U10" s="23" t="s">
        <v>27</v>
      </c>
      <c r="V10" s="21"/>
      <c r="W10" s="53" t="s">
        <v>134</v>
      </c>
      <c r="X10" s="37" t="s">
        <v>153</v>
      </c>
      <c r="Y10" s="50" t="s">
        <v>278</v>
      </c>
      <c r="Z10" s="19"/>
      <c r="AA10" s="19">
        <v>18627079899</v>
      </c>
      <c r="AB10" s="23" t="s">
        <v>306</v>
      </c>
      <c r="AC10" s="19"/>
      <c r="AD10" s="68" t="s">
        <v>134</v>
      </c>
      <c r="AE10" s="37" t="s">
        <v>459</v>
      </c>
      <c r="AF10" s="19" t="s">
        <v>73</v>
      </c>
      <c r="AG10" s="19">
        <v>18607145067</v>
      </c>
      <c r="AH10" s="23" t="s">
        <v>179</v>
      </c>
      <c r="AI10" s="19"/>
      <c r="AJ10" s="37" t="s">
        <v>518</v>
      </c>
      <c r="AK10" s="23" t="s">
        <v>219</v>
      </c>
      <c r="AL10" s="23" t="str">
        <f t="shared" si="1"/>
        <v>;liuff@inspur.com;liaoc@inspur.com</v>
      </c>
      <c r="AM10" s="35" t="s">
        <v>183</v>
      </c>
      <c r="AN10" s="35" t="s">
        <v>183</v>
      </c>
      <c r="AO10" s="54" t="s">
        <v>134</v>
      </c>
      <c r="AP10" s="37"/>
      <c r="AQ10" s="23"/>
      <c r="AR10" s="19"/>
      <c r="AS10" s="20"/>
      <c r="AT10" s="37"/>
      <c r="AU10" s="19"/>
      <c r="AV10" s="19"/>
      <c r="AW10" s="19"/>
    </row>
    <row r="11" spans="1:49" ht="15.75" customHeight="1" x14ac:dyDescent="0.35">
      <c r="R11" s="46" t="s">
        <v>87</v>
      </c>
      <c r="S11" s="1" t="s">
        <v>569</v>
      </c>
      <c r="T11" s="1">
        <v>18621661980</v>
      </c>
      <c r="U11" s="4" t="s">
        <v>568</v>
      </c>
      <c r="V11" s="21"/>
      <c r="W11" s="53" t="s">
        <v>133</v>
      </c>
      <c r="X11" s="37" t="s">
        <v>405</v>
      </c>
      <c r="Y11" s="50" t="s">
        <v>406</v>
      </c>
      <c r="Z11" s="19"/>
      <c r="AA11" s="19">
        <v>13801950374</v>
      </c>
      <c r="AB11" s="23" t="s">
        <v>404</v>
      </c>
      <c r="AC11" s="19"/>
      <c r="AD11" s="68" t="s">
        <v>133</v>
      </c>
      <c r="AE11" s="37" t="s">
        <v>461</v>
      </c>
      <c r="AF11" s="19" t="s">
        <v>66</v>
      </c>
      <c r="AG11" s="19">
        <v>13120582588</v>
      </c>
      <c r="AH11" s="23" t="s">
        <v>88</v>
      </c>
      <c r="AI11" s="19"/>
      <c r="AJ11" s="37"/>
      <c r="AK11" s="23" t="s">
        <v>183</v>
      </c>
      <c r="AL11" s="23" t="str">
        <f t="shared" si="1"/>
        <v>;zhangyingchao@inspur.com;</v>
      </c>
      <c r="AM11" s="35" t="s">
        <v>183</v>
      </c>
      <c r="AN11" s="35" t="s">
        <v>183</v>
      </c>
      <c r="AO11" s="54" t="s">
        <v>133</v>
      </c>
      <c r="AP11" s="37"/>
      <c r="AQ11" s="23"/>
      <c r="AR11" s="19"/>
      <c r="AS11" s="20"/>
      <c r="AT11" s="37"/>
      <c r="AU11" s="19"/>
      <c r="AV11" s="19"/>
      <c r="AW11" s="19"/>
    </row>
    <row r="12" spans="1:49" ht="15.75" customHeight="1" x14ac:dyDescent="0.35">
      <c r="R12" s="46" t="s">
        <v>79</v>
      </c>
      <c r="S12" s="1" t="s">
        <v>42</v>
      </c>
      <c r="T12" s="1">
        <v>13853199927</v>
      </c>
      <c r="U12" s="23" t="s">
        <v>43</v>
      </c>
      <c r="V12" s="21"/>
      <c r="W12" s="53" t="s">
        <v>132</v>
      </c>
      <c r="X12" s="37" t="s">
        <v>144</v>
      </c>
      <c r="Y12" s="50" t="s">
        <v>279</v>
      </c>
      <c r="Z12" s="19" t="s">
        <v>165</v>
      </c>
      <c r="AA12" s="19">
        <v>18660177898</v>
      </c>
      <c r="AB12" s="23" t="s">
        <v>145</v>
      </c>
      <c r="AC12" s="19"/>
      <c r="AD12" s="68" t="s">
        <v>132</v>
      </c>
      <c r="AE12" s="37" t="s">
        <v>463</v>
      </c>
      <c r="AF12" s="19" t="s">
        <v>80</v>
      </c>
      <c r="AG12" s="19">
        <v>13403450091</v>
      </c>
      <c r="AH12" s="23" t="s">
        <v>180</v>
      </c>
      <c r="AI12" s="19"/>
      <c r="AJ12" s="37" t="s">
        <v>519</v>
      </c>
      <c r="AK12" s="23" t="s">
        <v>220</v>
      </c>
      <c r="AL12" s="23" t="str">
        <f t="shared" si="1"/>
        <v>;guohui@inspur.com;wangmx@inspur.com</v>
      </c>
      <c r="AM12" s="35" t="s">
        <v>183</v>
      </c>
      <c r="AN12" s="35" t="s">
        <v>183</v>
      </c>
      <c r="AO12" s="54" t="s">
        <v>132</v>
      </c>
      <c r="AP12" s="37"/>
      <c r="AQ12" s="23"/>
      <c r="AR12" s="19"/>
      <c r="AS12" s="20"/>
      <c r="AT12" s="37"/>
      <c r="AU12" s="19"/>
      <c r="AV12" s="19"/>
      <c r="AW12" s="19"/>
    </row>
    <row r="13" spans="1:49" ht="15.75" customHeight="1" x14ac:dyDescent="0.35">
      <c r="R13" s="46" t="s">
        <v>83</v>
      </c>
      <c r="S13" s="1" t="s">
        <v>22</v>
      </c>
      <c r="T13" s="1">
        <v>18905311600</v>
      </c>
      <c r="U13" s="23" t="s">
        <v>23</v>
      </c>
      <c r="V13" s="21"/>
      <c r="W13" s="53" t="s">
        <v>131</v>
      </c>
      <c r="X13" s="37" t="s">
        <v>324</v>
      </c>
      <c r="Y13" s="50" t="s">
        <v>320</v>
      </c>
      <c r="Z13" s="19" t="s">
        <v>345</v>
      </c>
      <c r="AA13" s="19">
        <v>15081813555</v>
      </c>
      <c r="AB13" s="23" t="s">
        <v>323</v>
      </c>
      <c r="AC13" s="19" t="s">
        <v>256</v>
      </c>
      <c r="AD13" s="68" t="s">
        <v>464</v>
      </c>
      <c r="AE13" s="37" t="s">
        <v>465</v>
      </c>
      <c r="AF13" s="19" t="s">
        <v>66</v>
      </c>
      <c r="AG13" s="19">
        <v>13931890995</v>
      </c>
      <c r="AH13" s="23" t="s">
        <v>181</v>
      </c>
      <c r="AI13" s="19"/>
      <c r="AJ13" s="37"/>
      <c r="AK13" s="23" t="s">
        <v>183</v>
      </c>
      <c r="AL13" s="23" t="str">
        <f t="shared" si="1"/>
        <v>ma-chao@inspur.com;YANG_LI@INSPUR.COM;</v>
      </c>
      <c r="AM13" s="35" t="s">
        <v>183</v>
      </c>
      <c r="AN13" s="35" t="s">
        <v>183</v>
      </c>
      <c r="AO13" s="54" t="s">
        <v>131</v>
      </c>
      <c r="AP13" s="37" t="s">
        <v>321</v>
      </c>
      <c r="AQ13" s="23" t="s">
        <v>169</v>
      </c>
      <c r="AR13" s="19" t="s">
        <v>322</v>
      </c>
      <c r="AS13" s="20">
        <v>15165106999</v>
      </c>
      <c r="AT13" s="37"/>
      <c r="AU13" s="19"/>
      <c r="AV13" s="19"/>
      <c r="AW13" s="19"/>
    </row>
    <row r="14" spans="1:49" ht="15.75" customHeight="1" x14ac:dyDescent="0.35">
      <c r="R14" s="46" t="s">
        <v>85</v>
      </c>
      <c r="S14" s="1" t="s">
        <v>44</v>
      </c>
      <c r="T14" s="1">
        <v>18601239369</v>
      </c>
      <c r="U14" s="23" t="s">
        <v>45</v>
      </c>
      <c r="V14" s="21"/>
      <c r="W14" s="53" t="s">
        <v>130</v>
      </c>
      <c r="X14" s="37" t="s">
        <v>146</v>
      </c>
      <c r="Y14" s="50" t="s">
        <v>280</v>
      </c>
      <c r="Z14" s="19" t="s">
        <v>143</v>
      </c>
      <c r="AA14" s="19">
        <v>18629028288</v>
      </c>
      <c r="AB14" s="23" t="s">
        <v>170</v>
      </c>
      <c r="AC14" s="19"/>
      <c r="AD14" s="68" t="s">
        <v>130</v>
      </c>
      <c r="AE14" s="37" t="s">
        <v>467</v>
      </c>
      <c r="AF14" s="19" t="s">
        <v>66</v>
      </c>
      <c r="AG14" s="19">
        <v>13709128742</v>
      </c>
      <c r="AH14" s="23" t="s">
        <v>86</v>
      </c>
      <c r="AI14" s="19"/>
      <c r="AJ14" s="37"/>
      <c r="AK14" s="23" t="s">
        <v>183</v>
      </c>
      <c r="AL14" s="23" t="str">
        <f t="shared" si="1"/>
        <v>;guojiao@inspur.com;</v>
      </c>
      <c r="AM14" s="35" t="s">
        <v>183</v>
      </c>
      <c r="AN14" s="35" t="s">
        <v>183</v>
      </c>
      <c r="AO14" s="54" t="s">
        <v>130</v>
      </c>
      <c r="AP14" s="37"/>
      <c r="AQ14" s="23"/>
      <c r="AR14" s="19"/>
      <c r="AS14" s="20"/>
      <c r="AT14" s="37"/>
      <c r="AU14" s="19"/>
      <c r="AV14" s="19"/>
      <c r="AW14" s="19"/>
    </row>
    <row r="15" spans="1:49" ht="15.75" customHeight="1" x14ac:dyDescent="0.35">
      <c r="R15" s="46" t="s">
        <v>84</v>
      </c>
      <c r="S15" s="1" t="s">
        <v>24</v>
      </c>
      <c r="T15" s="1">
        <v>13384517868</v>
      </c>
      <c r="U15" s="23" t="s">
        <v>25</v>
      </c>
      <c r="V15" s="21"/>
      <c r="W15" s="53" t="s">
        <v>129</v>
      </c>
      <c r="X15" s="37" t="s">
        <v>346</v>
      </c>
      <c r="Y15" s="50" t="s">
        <v>303</v>
      </c>
      <c r="Z15" s="19" t="s">
        <v>302</v>
      </c>
      <c r="AA15" s="19">
        <v>13940374567</v>
      </c>
      <c r="AB15" s="23" t="s">
        <v>307</v>
      </c>
      <c r="AC15" s="19"/>
      <c r="AD15" s="68" t="s">
        <v>129</v>
      </c>
      <c r="AE15" s="37" t="s">
        <v>469</v>
      </c>
      <c r="AF15" s="19" t="s">
        <v>66</v>
      </c>
      <c r="AG15" s="19"/>
      <c r="AH15" s="23" t="s">
        <v>342</v>
      </c>
      <c r="AI15" s="19"/>
      <c r="AJ15" s="37"/>
      <c r="AK15" s="23" t="s">
        <v>183</v>
      </c>
      <c r="AL15" s="23" t="str">
        <f t="shared" si="1"/>
        <v>baoqh@inspur.com;gaozhenqi@inspur.com;</v>
      </c>
      <c r="AM15" s="35" t="s">
        <v>183</v>
      </c>
      <c r="AN15" s="35" t="s">
        <v>183</v>
      </c>
      <c r="AO15" s="54" t="s">
        <v>129</v>
      </c>
      <c r="AP15" s="37" t="s">
        <v>349</v>
      </c>
      <c r="AQ15" s="23" t="s">
        <v>348</v>
      </c>
      <c r="AR15" s="19" t="s">
        <v>350</v>
      </c>
      <c r="AS15" s="20"/>
      <c r="AT15" s="37"/>
      <c r="AU15" s="19"/>
      <c r="AV15" s="19"/>
      <c r="AW15" s="19"/>
    </row>
    <row r="16" spans="1:49" ht="15.75" customHeight="1" x14ac:dyDescent="0.35">
      <c r="R16" s="46" t="s">
        <v>96</v>
      </c>
      <c r="S16" s="1" t="s">
        <v>28</v>
      </c>
      <c r="T16" s="1">
        <v>13974880009</v>
      </c>
      <c r="U16" s="23" t="s">
        <v>29</v>
      </c>
      <c r="V16" s="21"/>
      <c r="W16" s="53" t="s">
        <v>128</v>
      </c>
      <c r="X16" s="37" t="s">
        <v>347</v>
      </c>
      <c r="Y16" s="50" t="s">
        <v>343</v>
      </c>
      <c r="Z16" s="19" t="s">
        <v>345</v>
      </c>
      <c r="AA16" s="19">
        <v>13574889880</v>
      </c>
      <c r="AB16" s="23" t="s">
        <v>344</v>
      </c>
      <c r="AC16" s="19"/>
      <c r="AD16" s="68" t="s">
        <v>128</v>
      </c>
      <c r="AE16" s="37" t="s">
        <v>471</v>
      </c>
      <c r="AF16" s="19" t="s">
        <v>68</v>
      </c>
      <c r="AG16" s="19">
        <v>13319531009</v>
      </c>
      <c r="AH16" s="23" t="s">
        <v>97</v>
      </c>
      <c r="AI16" s="19"/>
      <c r="AJ16" s="37"/>
      <c r="AK16" s="23" t="s">
        <v>183</v>
      </c>
      <c r="AL16" s="23" t="str">
        <f t="shared" si="1"/>
        <v>;huyj@inspur.com;</v>
      </c>
      <c r="AM16" s="35" t="s">
        <v>183</v>
      </c>
      <c r="AN16" s="35" t="s">
        <v>183</v>
      </c>
      <c r="AO16" s="54" t="s">
        <v>128</v>
      </c>
      <c r="AP16" s="37"/>
      <c r="AQ16" s="23"/>
      <c r="AR16" s="19"/>
      <c r="AS16" s="20"/>
      <c r="AT16" s="37"/>
      <c r="AU16" s="19"/>
      <c r="AV16" s="19"/>
      <c r="AW16" s="19"/>
    </row>
    <row r="17" spans="18:49" ht="15.75" customHeight="1" x14ac:dyDescent="0.35">
      <c r="R17" s="46" t="s">
        <v>77</v>
      </c>
      <c r="S17" s="1" t="s">
        <v>351</v>
      </c>
      <c r="T17" s="1"/>
      <c r="U17" s="23" t="s">
        <v>352</v>
      </c>
      <c r="V17" s="21"/>
      <c r="W17" s="53" t="s">
        <v>127</v>
      </c>
      <c r="X17" s="37" t="s">
        <v>297</v>
      </c>
      <c r="Y17" s="50" t="s">
        <v>298</v>
      </c>
      <c r="Z17" s="19"/>
      <c r="AA17" s="19">
        <v>13893365226</v>
      </c>
      <c r="AB17" s="23" t="s">
        <v>296</v>
      </c>
      <c r="AC17" s="19"/>
      <c r="AD17" s="68" t="s">
        <v>472</v>
      </c>
      <c r="AE17" s="37" t="s">
        <v>473</v>
      </c>
      <c r="AF17" s="19" t="s">
        <v>73</v>
      </c>
      <c r="AG17" s="19">
        <v>13893678177</v>
      </c>
      <c r="AH17" s="23" t="s">
        <v>78</v>
      </c>
      <c r="AI17" s="19"/>
      <c r="AJ17" s="37" t="s">
        <v>520</v>
      </c>
      <c r="AK17" s="23" t="s">
        <v>221</v>
      </c>
      <c r="AL17" s="23" t="str">
        <f t="shared" si="1"/>
        <v>;zhuyl@inspur.com;wangyanling@inspur.com</v>
      </c>
      <c r="AM17" s="35" t="s">
        <v>183</v>
      </c>
      <c r="AN17" s="35" t="s">
        <v>183</v>
      </c>
      <c r="AO17" s="54" t="s">
        <v>127</v>
      </c>
      <c r="AP17" s="37"/>
      <c r="AQ17" s="23"/>
      <c r="AR17" s="19"/>
      <c r="AS17" s="20"/>
      <c r="AT17" s="37"/>
      <c r="AU17" s="19"/>
      <c r="AV17" s="19"/>
      <c r="AW17" s="19"/>
    </row>
    <row r="18" spans="18:49" ht="15.75" customHeight="1" x14ac:dyDescent="0.35">
      <c r="R18" s="46" t="s">
        <v>82</v>
      </c>
      <c r="S18" s="1" t="s">
        <v>60</v>
      </c>
      <c r="T18" s="1">
        <v>13911059500</v>
      </c>
      <c r="U18" s="23" t="s">
        <v>61</v>
      </c>
      <c r="V18" s="21"/>
      <c r="W18" s="53" t="s">
        <v>126</v>
      </c>
      <c r="X18" s="37" t="s">
        <v>358</v>
      </c>
      <c r="Y18" s="50" t="s">
        <v>359</v>
      </c>
      <c r="Z18" s="19"/>
      <c r="AA18" s="19">
        <v>13307913066</v>
      </c>
      <c r="AB18" s="23" t="s">
        <v>360</v>
      </c>
      <c r="AC18" s="19"/>
      <c r="AD18" s="68" t="s">
        <v>126</v>
      </c>
      <c r="AE18" s="37" t="s">
        <v>475</v>
      </c>
      <c r="AF18" s="19" t="s">
        <v>66</v>
      </c>
      <c r="AG18" s="19">
        <v>18679171137</v>
      </c>
      <c r="AH18" s="23" t="s">
        <v>182</v>
      </c>
      <c r="AI18" s="19"/>
      <c r="AJ18" s="37"/>
      <c r="AK18" s="23" t="s">
        <v>183</v>
      </c>
      <c r="AL18" s="23" t="str">
        <f t="shared" si="1"/>
        <v>;suting@inspur.com;</v>
      </c>
      <c r="AM18" s="35" t="s">
        <v>183</v>
      </c>
      <c r="AN18" s="35" t="s">
        <v>183</v>
      </c>
      <c r="AO18" s="54" t="s">
        <v>126</v>
      </c>
      <c r="AP18" s="37"/>
      <c r="AQ18" s="23"/>
      <c r="AR18" s="19"/>
      <c r="AS18" s="20"/>
      <c r="AT18" s="37"/>
      <c r="AU18" s="19"/>
      <c r="AV18" s="19"/>
      <c r="AW18" s="19"/>
    </row>
    <row r="19" spans="18:49" ht="15.75" customHeight="1" x14ac:dyDescent="0.35">
      <c r="R19" s="48" t="s">
        <v>115</v>
      </c>
      <c r="S19" s="1" t="s">
        <v>417</v>
      </c>
      <c r="T19" s="1"/>
      <c r="U19" s="23" t="s">
        <v>418</v>
      </c>
      <c r="V19" s="21"/>
      <c r="W19" s="53" t="s">
        <v>116</v>
      </c>
      <c r="X19" s="37" t="s">
        <v>330</v>
      </c>
      <c r="Y19" s="50" t="s">
        <v>332</v>
      </c>
      <c r="Z19" s="19" t="s">
        <v>331</v>
      </c>
      <c r="AA19" s="19">
        <v>18502281735</v>
      </c>
      <c r="AB19" s="23" t="s">
        <v>361</v>
      </c>
      <c r="AC19" s="19"/>
      <c r="AD19" s="68" t="s">
        <v>116</v>
      </c>
      <c r="AE19" s="37" t="s">
        <v>477</v>
      </c>
      <c r="AF19" s="19" t="s">
        <v>160</v>
      </c>
      <c r="AG19" s="19" t="s">
        <v>161</v>
      </c>
      <c r="AH19" s="23" t="s">
        <v>162</v>
      </c>
      <c r="AI19" s="19"/>
      <c r="AJ19" s="37" t="s">
        <v>521</v>
      </c>
      <c r="AK19" s="23" t="s">
        <v>222</v>
      </c>
      <c r="AL19" s="23" t="str">
        <f t="shared" si="1"/>
        <v>;panjie@inspur.com;wangmiaom@inspur.com;wangmiaom@inspur.com</v>
      </c>
      <c r="AM19" s="35" t="s">
        <v>183</v>
      </c>
      <c r="AN19" s="35" t="s">
        <v>183</v>
      </c>
      <c r="AO19" s="54" t="s">
        <v>116</v>
      </c>
      <c r="AP19" s="37"/>
      <c r="AQ19" s="23"/>
      <c r="AR19" s="19"/>
      <c r="AS19" s="20"/>
      <c r="AT19" s="37"/>
      <c r="AU19" s="19"/>
      <c r="AV19" s="19"/>
      <c r="AW19" s="19"/>
    </row>
    <row r="20" spans="18:49" ht="15.75" customHeight="1" x14ac:dyDescent="0.35">
      <c r="R20" s="46" t="s">
        <v>205</v>
      </c>
      <c r="S20" s="1" t="s">
        <v>36</v>
      </c>
      <c r="T20" s="1">
        <v>18600280588</v>
      </c>
      <c r="U20" s="23" t="s">
        <v>37</v>
      </c>
      <c r="V20" s="21"/>
      <c r="W20" s="53" t="s">
        <v>117</v>
      </c>
      <c r="X20" s="37" t="s">
        <v>429</v>
      </c>
      <c r="Y20" s="50" t="s">
        <v>430</v>
      </c>
      <c r="Z20" s="19"/>
      <c r="AA20" s="19">
        <v>18654528866</v>
      </c>
      <c r="AB20" s="23" t="s">
        <v>431</v>
      </c>
      <c r="AC20" s="19"/>
      <c r="AD20" s="68" t="s">
        <v>117</v>
      </c>
      <c r="AE20" s="37" t="s">
        <v>479</v>
      </c>
      <c r="AF20" s="19" t="s">
        <v>66</v>
      </c>
      <c r="AG20" s="19">
        <v>15849339290</v>
      </c>
      <c r="AH20" s="23" t="s">
        <v>91</v>
      </c>
      <c r="AI20" s="19"/>
      <c r="AJ20" s="37"/>
      <c r="AK20" s="23" t="s">
        <v>183</v>
      </c>
      <c r="AL20" s="23" t="str">
        <f t="shared" si="1"/>
        <v>chenweinm@inspur.com;dingjiao@inspur.com;</v>
      </c>
      <c r="AM20" s="35" t="s">
        <v>183</v>
      </c>
      <c r="AN20" s="35" t="s">
        <v>183</v>
      </c>
      <c r="AO20" s="54" t="s">
        <v>117</v>
      </c>
      <c r="AP20" s="37" t="s">
        <v>333</v>
      </c>
      <c r="AQ20" s="23" t="s">
        <v>187</v>
      </c>
      <c r="AR20" s="19"/>
      <c r="AS20" s="20">
        <v>13015020567</v>
      </c>
      <c r="AT20" s="37"/>
      <c r="AU20" s="19"/>
      <c r="AV20" s="19"/>
      <c r="AW20" s="19"/>
    </row>
    <row r="21" spans="18:49" ht="15.75" customHeight="1" x14ac:dyDescent="0.35">
      <c r="R21" s="48" t="s">
        <v>94</v>
      </c>
      <c r="S21" s="1" t="s">
        <v>34</v>
      </c>
      <c r="T21" s="1">
        <v>13335153718</v>
      </c>
      <c r="U21" s="23" t="s">
        <v>35</v>
      </c>
      <c r="V21" s="21"/>
      <c r="W21" s="53" t="s">
        <v>125</v>
      </c>
      <c r="X21" s="37" t="s">
        <v>154</v>
      </c>
      <c r="Y21" s="50" t="s">
        <v>282</v>
      </c>
      <c r="Z21" s="19" t="s">
        <v>165</v>
      </c>
      <c r="AA21" s="19">
        <v>13940536289</v>
      </c>
      <c r="AB21" s="23" t="s">
        <v>334</v>
      </c>
      <c r="AC21" s="19"/>
      <c r="AD21" s="68" t="s">
        <v>125</v>
      </c>
      <c r="AE21" s="37" t="s">
        <v>481</v>
      </c>
      <c r="AF21" s="19" t="s">
        <v>66</v>
      </c>
      <c r="AG21" s="19">
        <v>18640244788</v>
      </c>
      <c r="AH21" s="23" t="s">
        <v>95</v>
      </c>
      <c r="AI21" s="19"/>
      <c r="AJ21" s="37"/>
      <c r="AK21" s="23" t="s">
        <v>183</v>
      </c>
      <c r="AL21" s="23" t="str">
        <f t="shared" si="1"/>
        <v>;dongjh@inspur.com;</v>
      </c>
      <c r="AM21" s="35" t="s">
        <v>183</v>
      </c>
      <c r="AN21" s="35" t="s">
        <v>183</v>
      </c>
      <c r="AO21" s="54" t="s">
        <v>125</v>
      </c>
      <c r="AP21" s="37"/>
      <c r="AQ21" s="23"/>
      <c r="AR21" s="19"/>
      <c r="AS21" s="20"/>
      <c r="AT21" s="37"/>
      <c r="AU21" s="19"/>
      <c r="AV21" s="19"/>
      <c r="AW21" s="19"/>
    </row>
    <row r="22" spans="18:49" ht="15.75" customHeight="1" x14ac:dyDescent="0.35">
      <c r="R22" s="48" t="s">
        <v>100</v>
      </c>
      <c r="S22" s="1" t="s">
        <v>56</v>
      </c>
      <c r="T22" s="1">
        <v>15806679158</v>
      </c>
      <c r="U22" s="23" t="s">
        <v>57</v>
      </c>
      <c r="V22" s="21"/>
      <c r="W22" s="53" t="s">
        <v>124</v>
      </c>
      <c r="X22" s="37" t="s">
        <v>362</v>
      </c>
      <c r="Y22" s="50" t="s">
        <v>363</v>
      </c>
      <c r="Z22" s="19" t="s">
        <v>165</v>
      </c>
      <c r="AA22" s="19">
        <v>13850101878</v>
      </c>
      <c r="AB22" s="23" t="s">
        <v>364</v>
      </c>
      <c r="AC22" s="19"/>
      <c r="AD22" s="68" t="s">
        <v>124</v>
      </c>
      <c r="AE22" s="37" t="s">
        <v>483</v>
      </c>
      <c r="AF22" s="65" t="s">
        <v>183</v>
      </c>
      <c r="AG22" s="19"/>
      <c r="AH22" s="23" t="s">
        <v>329</v>
      </c>
      <c r="AI22" s="19"/>
      <c r="AJ22" s="37" t="s">
        <v>209</v>
      </c>
      <c r="AK22" s="23" t="s">
        <v>223</v>
      </c>
      <c r="AL22" s="23" t="str">
        <f>AQ22&amp;";"&amp;AH22&amp;";"&amp;AK22</f>
        <v>tanhb@inspur.com;wengxl@inspur.com;zhanglinfj@inspur.com</v>
      </c>
      <c r="AM22" s="35" t="s">
        <v>183</v>
      </c>
      <c r="AN22" s="35" t="s">
        <v>183</v>
      </c>
      <c r="AO22" s="54" t="s">
        <v>124</v>
      </c>
      <c r="AP22" s="37" t="s">
        <v>261</v>
      </c>
      <c r="AQ22" s="23" t="s">
        <v>266</v>
      </c>
      <c r="AR22" s="19" t="s">
        <v>263</v>
      </c>
      <c r="AS22" s="20"/>
      <c r="AT22" s="37" t="s">
        <v>328</v>
      </c>
      <c r="AU22" s="19" t="s">
        <v>66</v>
      </c>
      <c r="AV22" s="19">
        <v>15059157761</v>
      </c>
      <c r="AW22" s="19" t="s">
        <v>101</v>
      </c>
    </row>
    <row r="23" spans="18:49" ht="15.75" customHeight="1" x14ac:dyDescent="0.35">
      <c r="R23" s="46" t="s">
        <v>89</v>
      </c>
      <c r="S23" s="1" t="s">
        <v>50</v>
      </c>
      <c r="T23" s="1">
        <v>13999985001</v>
      </c>
      <c r="U23" s="23" t="s">
        <v>51</v>
      </c>
      <c r="V23" s="21"/>
      <c r="W23" s="53" t="s">
        <v>123</v>
      </c>
      <c r="X23" s="37" t="s">
        <v>407</v>
      </c>
      <c r="Y23" s="50" t="s">
        <v>408</v>
      </c>
      <c r="Z23" s="19"/>
      <c r="AA23" s="19">
        <v>18699020035</v>
      </c>
      <c r="AB23" s="23" t="s">
        <v>409</v>
      </c>
      <c r="AC23" s="19"/>
      <c r="AD23" s="68" t="s">
        <v>123</v>
      </c>
      <c r="AE23" s="37" t="s">
        <v>485</v>
      </c>
      <c r="AF23" s="19" t="s">
        <v>66</v>
      </c>
      <c r="AG23" s="19">
        <v>13659956575</v>
      </c>
      <c r="AH23" s="23" t="s">
        <v>90</v>
      </c>
      <c r="AI23" s="19"/>
      <c r="AJ23" s="37"/>
      <c r="AK23" s="23" t="s">
        <v>183</v>
      </c>
      <c r="AL23" s="23" t="str">
        <f t="shared" si="1"/>
        <v>;chengss@inspur.com;</v>
      </c>
      <c r="AM23" s="35" t="s">
        <v>183</v>
      </c>
      <c r="AN23" s="35" t="s">
        <v>183</v>
      </c>
      <c r="AO23" s="54" t="s">
        <v>123</v>
      </c>
      <c r="AP23" s="37"/>
      <c r="AQ23" s="23"/>
      <c r="AR23" s="19"/>
      <c r="AS23" s="20"/>
      <c r="AT23" s="37"/>
      <c r="AU23" s="19"/>
      <c r="AV23" s="19"/>
      <c r="AW23" s="19"/>
    </row>
    <row r="24" spans="18:49" ht="15.75" customHeight="1" x14ac:dyDescent="0.35">
      <c r="R24" s="46" t="s">
        <v>105</v>
      </c>
      <c r="S24" s="1" t="s">
        <v>16</v>
      </c>
      <c r="T24" s="1">
        <v>13759533658</v>
      </c>
      <c r="U24" s="23" t="s">
        <v>17</v>
      </c>
      <c r="V24" s="21"/>
      <c r="W24" s="53" t="s">
        <v>122</v>
      </c>
      <c r="X24" s="37" t="s">
        <v>147</v>
      </c>
      <c r="Y24" s="50" t="s">
        <v>283</v>
      </c>
      <c r="Z24" s="19" t="s">
        <v>143</v>
      </c>
      <c r="AA24" s="19">
        <v>13607710531</v>
      </c>
      <c r="AB24" s="23" t="s">
        <v>171</v>
      </c>
      <c r="AC24" s="19"/>
      <c r="AD24" s="68" t="s">
        <v>122</v>
      </c>
      <c r="AE24" s="37" t="s">
        <v>487</v>
      </c>
      <c r="AF24" s="19" t="s">
        <v>73</v>
      </c>
      <c r="AG24" s="19">
        <v>15977759932</v>
      </c>
      <c r="AH24" s="23" t="s">
        <v>106</v>
      </c>
      <c r="AI24" s="19"/>
      <c r="AJ24" s="37"/>
      <c r="AK24" s="23" t="s">
        <v>183</v>
      </c>
      <c r="AL24" s="23" t="str">
        <f t="shared" si="1"/>
        <v>;chenshl@inspur.com;</v>
      </c>
      <c r="AM24" s="35" t="s">
        <v>183</v>
      </c>
      <c r="AN24" s="35" t="s">
        <v>183</v>
      </c>
      <c r="AO24" s="54" t="s">
        <v>122</v>
      </c>
      <c r="AP24" s="37"/>
      <c r="AQ24" s="23"/>
      <c r="AR24" s="19"/>
      <c r="AS24" s="20"/>
      <c r="AT24" s="37"/>
      <c r="AU24" s="19"/>
      <c r="AV24" s="19"/>
      <c r="AW24" s="19"/>
    </row>
    <row r="25" spans="18:49" ht="15.75" customHeight="1" x14ac:dyDescent="0.35">
      <c r="R25" s="46" t="s">
        <v>92</v>
      </c>
      <c r="S25" s="1" t="s">
        <v>415</v>
      </c>
      <c r="T25" s="1"/>
      <c r="U25" s="23" t="s">
        <v>416</v>
      </c>
      <c r="V25" s="21"/>
      <c r="W25" s="53" t="s">
        <v>121</v>
      </c>
      <c r="X25" s="73" t="s">
        <v>528</v>
      </c>
      <c r="Y25" s="50" t="s">
        <v>527</v>
      </c>
      <c r="Z25" s="19" t="s">
        <v>165</v>
      </c>
      <c r="AA25" s="19">
        <v>13389603995</v>
      </c>
      <c r="AB25" s="23" t="s">
        <v>526</v>
      </c>
      <c r="AC25" s="19"/>
      <c r="AD25" s="68" t="s">
        <v>121</v>
      </c>
      <c r="AE25" s="37" t="s">
        <v>489</v>
      </c>
      <c r="AF25" s="19" t="s">
        <v>68</v>
      </c>
      <c r="AG25" s="19">
        <v>15923343988</v>
      </c>
      <c r="AH25" s="23" t="s">
        <v>93</v>
      </c>
      <c r="AI25" s="19"/>
      <c r="AJ25" s="37" t="s">
        <v>523</v>
      </c>
      <c r="AK25" s="23" t="s">
        <v>313</v>
      </c>
      <c r="AL25" s="23" t="str">
        <f t="shared" si="1"/>
        <v>liumengfang@inspur.com;haoling@inspur.com;yumh@inspur.com</v>
      </c>
      <c r="AM25" s="35" t="s">
        <v>183</v>
      </c>
      <c r="AN25" s="35" t="s">
        <v>183</v>
      </c>
      <c r="AO25" s="54" t="s">
        <v>121</v>
      </c>
      <c r="AP25" s="37" t="s">
        <v>356</v>
      </c>
      <c r="AQ25" s="23" t="s">
        <v>355</v>
      </c>
      <c r="AR25" s="19" t="s">
        <v>357</v>
      </c>
      <c r="AS25" s="20"/>
      <c r="AT25" s="37"/>
      <c r="AU25" s="19"/>
      <c r="AV25" s="19"/>
      <c r="AW25" s="19"/>
    </row>
    <row r="26" spans="18:49" ht="15.75" customHeight="1" x14ac:dyDescent="0.35">
      <c r="R26" s="46" t="s">
        <v>103</v>
      </c>
      <c r="S26" s="1" t="s">
        <v>54</v>
      </c>
      <c r="T26" s="1">
        <v>15658879929</v>
      </c>
      <c r="U26" s="23" t="s">
        <v>55</v>
      </c>
      <c r="V26" s="21"/>
      <c r="W26" s="53" t="s">
        <v>490</v>
      </c>
      <c r="X26" s="37" t="s">
        <v>419</v>
      </c>
      <c r="Y26" s="50" t="s">
        <v>420</v>
      </c>
      <c r="Z26" s="19" t="s">
        <v>421</v>
      </c>
      <c r="AA26" s="19">
        <v>18953119966</v>
      </c>
      <c r="AB26" s="23" t="s">
        <v>422</v>
      </c>
      <c r="AC26" s="19"/>
      <c r="AD26" s="68" t="s">
        <v>490</v>
      </c>
      <c r="AE26" s="37" t="s">
        <v>491</v>
      </c>
      <c r="AF26" s="19" t="s">
        <v>66</v>
      </c>
      <c r="AG26" s="19">
        <v>18668060228</v>
      </c>
      <c r="AH26" s="23" t="s">
        <v>104</v>
      </c>
      <c r="AI26" s="19"/>
      <c r="AJ26" s="37" t="s">
        <v>524</v>
      </c>
      <c r="AK26" s="23" t="s">
        <v>272</v>
      </c>
      <c r="AL26" s="23" t="str">
        <f t="shared" si="1"/>
        <v>;benhy@insur.com;lixialc@inspur.com</v>
      </c>
      <c r="AM26" s="35" t="s">
        <v>183</v>
      </c>
      <c r="AN26" s="35" t="s">
        <v>183</v>
      </c>
      <c r="AO26" s="54" t="s">
        <v>103</v>
      </c>
      <c r="AP26" s="37"/>
      <c r="AQ26" s="23"/>
      <c r="AR26" s="19"/>
      <c r="AS26" s="20"/>
      <c r="AT26" s="37"/>
      <c r="AU26" s="19"/>
      <c r="AV26" s="19"/>
      <c r="AW26" s="19"/>
    </row>
    <row r="27" spans="18:49" ht="15.75" customHeight="1" x14ac:dyDescent="0.35">
      <c r="R27" s="46" t="s">
        <v>107</v>
      </c>
      <c r="S27" s="2" t="s">
        <v>18</v>
      </c>
      <c r="T27" s="2">
        <v>13385115600</v>
      </c>
      <c r="U27" s="23" t="s">
        <v>19</v>
      </c>
      <c r="V27" s="21"/>
      <c r="W27" s="53" t="s">
        <v>120</v>
      </c>
      <c r="X27" s="37" t="s">
        <v>148</v>
      </c>
      <c r="Y27" s="50" t="s">
        <v>284</v>
      </c>
      <c r="Z27" s="19" t="s">
        <v>143</v>
      </c>
      <c r="AA27" s="19">
        <v>18985187797</v>
      </c>
      <c r="AB27" s="23" t="s">
        <v>308</v>
      </c>
      <c r="AC27" s="19"/>
      <c r="AD27" s="68" t="s">
        <v>120</v>
      </c>
      <c r="AE27" s="37" t="s">
        <v>493</v>
      </c>
      <c r="AF27" s="19" t="s">
        <v>73</v>
      </c>
      <c r="AG27" s="19">
        <v>13312213132</v>
      </c>
      <c r="AH27" s="23" t="s">
        <v>108</v>
      </c>
      <c r="AI27" s="19"/>
      <c r="AJ27" s="37"/>
      <c r="AK27" s="23" t="s">
        <v>183</v>
      </c>
      <c r="AL27" s="23" t="str">
        <f t="shared" si="1"/>
        <v>;fuyx@inspur.com;</v>
      </c>
      <c r="AM27" s="35" t="s">
        <v>183</v>
      </c>
      <c r="AN27" s="35" t="s">
        <v>183</v>
      </c>
      <c r="AO27" s="54" t="s">
        <v>120</v>
      </c>
      <c r="AP27" s="37"/>
      <c r="AQ27" s="23"/>
      <c r="AR27" s="19"/>
      <c r="AS27" s="20"/>
      <c r="AT27" s="37"/>
      <c r="AU27" s="19"/>
      <c r="AV27" s="19"/>
      <c r="AW27" s="19"/>
    </row>
    <row r="28" spans="18:49" ht="15.75" customHeight="1" x14ac:dyDescent="0.35">
      <c r="R28" s="46" t="s">
        <v>102</v>
      </c>
      <c r="S28" s="2" t="s">
        <v>30</v>
      </c>
      <c r="T28" s="2">
        <v>13904310166</v>
      </c>
      <c r="U28" s="23" t="s">
        <v>31</v>
      </c>
      <c r="V28" s="21"/>
      <c r="W28" s="53" t="s">
        <v>119</v>
      </c>
      <c r="X28" s="37" t="s">
        <v>293</v>
      </c>
      <c r="Y28" s="50" t="s">
        <v>294</v>
      </c>
      <c r="Z28" s="19" t="s">
        <v>143</v>
      </c>
      <c r="AA28" s="19">
        <v>13904310878</v>
      </c>
      <c r="AB28" s="23" t="s">
        <v>309</v>
      </c>
      <c r="AC28" s="19"/>
      <c r="AD28" s="68" t="s">
        <v>119</v>
      </c>
      <c r="AE28" s="37" t="s">
        <v>495</v>
      </c>
      <c r="AF28" s="19" t="s">
        <v>66</v>
      </c>
      <c r="AG28" s="19">
        <v>15104310492</v>
      </c>
      <c r="AH28" s="23" t="s">
        <v>295</v>
      </c>
      <c r="AI28" s="19"/>
      <c r="AJ28" s="37"/>
      <c r="AK28" s="23" t="s">
        <v>183</v>
      </c>
      <c r="AL28" s="23" t="str">
        <f t="shared" si="1"/>
        <v>;liupf@inspur.com;</v>
      </c>
      <c r="AM28" s="35" t="s">
        <v>183</v>
      </c>
      <c r="AN28" s="35" t="s">
        <v>183</v>
      </c>
      <c r="AO28" s="54" t="s">
        <v>119</v>
      </c>
      <c r="AP28" s="37"/>
      <c r="AQ28" s="23"/>
      <c r="AR28" s="19"/>
      <c r="AS28" s="20"/>
      <c r="AT28" s="37"/>
      <c r="AU28" s="19"/>
      <c r="AV28" s="19"/>
      <c r="AW28" s="19"/>
    </row>
    <row r="29" spans="18:49" ht="15.75" customHeight="1" x14ac:dyDescent="0.35">
      <c r="R29" s="46" t="s">
        <v>98</v>
      </c>
      <c r="S29" s="1" t="s">
        <v>52</v>
      </c>
      <c r="T29" s="1">
        <v>13911166859</v>
      </c>
      <c r="U29" s="23" t="s">
        <v>53</v>
      </c>
      <c r="V29" s="21"/>
      <c r="W29" s="53" t="s">
        <v>118</v>
      </c>
      <c r="X29" s="37" t="s">
        <v>166</v>
      </c>
      <c r="Y29" s="50" t="s">
        <v>285</v>
      </c>
      <c r="Z29" s="19" t="s">
        <v>143</v>
      </c>
      <c r="AA29" s="19">
        <v>13769110025</v>
      </c>
      <c r="AB29" s="23" t="s">
        <v>172</v>
      </c>
      <c r="AC29" s="19"/>
      <c r="AD29" s="68" t="s">
        <v>118</v>
      </c>
      <c r="AE29" s="37" t="s">
        <v>497</v>
      </c>
      <c r="AF29" s="19" t="s">
        <v>80</v>
      </c>
      <c r="AG29" s="19">
        <v>18653172188</v>
      </c>
      <c r="AH29" s="23" t="s">
        <v>99</v>
      </c>
      <c r="AI29" s="19"/>
      <c r="AJ29" s="37" t="s">
        <v>525</v>
      </c>
      <c r="AK29" s="23" t="s">
        <v>224</v>
      </c>
      <c r="AL29" s="23" t="str">
        <f t="shared" si="1"/>
        <v>;guowj@inspur.com;zhangxiaohong@inspur.com</v>
      </c>
      <c r="AM29" s="35" t="s">
        <v>183</v>
      </c>
      <c r="AN29" s="35" t="s">
        <v>183</v>
      </c>
      <c r="AO29" s="54" t="s">
        <v>118</v>
      </c>
      <c r="AP29" s="37"/>
      <c r="AQ29" s="23"/>
      <c r="AR29" s="19"/>
      <c r="AS29" s="20"/>
      <c r="AT29" s="37"/>
      <c r="AU29" s="19"/>
      <c r="AV29" s="19"/>
      <c r="AW29" s="19"/>
    </row>
    <row r="30" spans="18:49" ht="15.75" customHeight="1" x14ac:dyDescent="0.35">
      <c r="R30" s="46" t="s">
        <v>114</v>
      </c>
      <c r="S30" s="1" t="s">
        <v>20</v>
      </c>
      <c r="T30" s="1">
        <v>18608994333</v>
      </c>
      <c r="U30" s="23" t="s">
        <v>21</v>
      </c>
      <c r="V30" s="21"/>
      <c r="W30" s="53" t="s">
        <v>498</v>
      </c>
      <c r="X30" s="1" t="s">
        <v>532</v>
      </c>
      <c r="Y30" s="50" t="s">
        <v>533</v>
      </c>
      <c r="Z30" s="19"/>
      <c r="AA30" s="19">
        <v>18907623892</v>
      </c>
      <c r="AB30" s="4" t="s">
        <v>534</v>
      </c>
      <c r="AC30" s="19"/>
      <c r="AD30" s="68" t="s">
        <v>498</v>
      </c>
      <c r="AE30" s="37" t="s">
        <v>500</v>
      </c>
      <c r="AF30" s="65" t="s">
        <v>183</v>
      </c>
      <c r="AG30" s="19"/>
      <c r="AH30" s="23" t="s">
        <v>234</v>
      </c>
      <c r="AI30" s="19"/>
      <c r="AJ30" s="37"/>
      <c r="AK30" s="23" t="s">
        <v>183</v>
      </c>
      <c r="AL30" s="23" t="str">
        <f t="shared" si="1"/>
        <v>;thz@inspur.com;</v>
      </c>
      <c r="AM30" s="35" t="s">
        <v>183</v>
      </c>
      <c r="AN30" s="35" t="s">
        <v>183</v>
      </c>
      <c r="AO30" s="54" t="s">
        <v>114</v>
      </c>
      <c r="AP30" s="37"/>
      <c r="AQ30" s="23"/>
      <c r="AR30" s="19"/>
      <c r="AS30" s="20"/>
      <c r="AT30" s="37"/>
      <c r="AU30" s="19"/>
      <c r="AV30" s="19"/>
      <c r="AW30" s="19"/>
    </row>
    <row r="31" spans="18:49" ht="15.75" customHeight="1" x14ac:dyDescent="0.35">
      <c r="R31" s="46" t="s">
        <v>109</v>
      </c>
      <c r="S31" s="1" t="s">
        <v>38</v>
      </c>
      <c r="T31" s="1">
        <v>13309595050</v>
      </c>
      <c r="U31" s="23" t="s">
        <v>39</v>
      </c>
      <c r="V31" s="21"/>
      <c r="W31" s="53" t="s">
        <v>501</v>
      </c>
      <c r="X31" s="37" t="s">
        <v>155</v>
      </c>
      <c r="Y31" s="50" t="s">
        <v>286</v>
      </c>
      <c r="Z31" s="19" t="s">
        <v>143</v>
      </c>
      <c r="AA31" s="19">
        <v>13909519110</v>
      </c>
      <c r="AB31" s="23" t="s">
        <v>173</v>
      </c>
      <c r="AC31" s="19"/>
      <c r="AD31" s="68" t="s">
        <v>501</v>
      </c>
      <c r="AE31" s="37" t="s">
        <v>502</v>
      </c>
      <c r="AF31" s="19" t="s">
        <v>66</v>
      </c>
      <c r="AG31" s="19">
        <v>18991165433</v>
      </c>
      <c r="AH31" s="23" t="s">
        <v>110</v>
      </c>
      <c r="AI31" s="19"/>
      <c r="AJ31" s="37"/>
      <c r="AK31" s="23" t="s">
        <v>183</v>
      </c>
      <c r="AL31" s="23" t="str">
        <f t="shared" si="1"/>
        <v>;hanmin@insur.com;</v>
      </c>
      <c r="AM31" s="35" t="s">
        <v>183</v>
      </c>
      <c r="AN31" s="35" t="s">
        <v>183</v>
      </c>
      <c r="AO31" s="54" t="s">
        <v>163</v>
      </c>
      <c r="AP31" s="37"/>
      <c r="AQ31" s="23"/>
      <c r="AR31" s="19"/>
      <c r="AS31" s="20"/>
      <c r="AT31" s="37"/>
      <c r="AU31" s="19"/>
      <c r="AV31" s="19"/>
      <c r="AW31" s="19"/>
    </row>
    <row r="32" spans="18:49" ht="15.75" customHeight="1" x14ac:dyDescent="0.35">
      <c r="R32" s="46" t="s">
        <v>111</v>
      </c>
      <c r="S32" s="1" t="s">
        <v>353</v>
      </c>
      <c r="T32" s="1">
        <v>13893613145</v>
      </c>
      <c r="U32" s="23" t="s">
        <v>354</v>
      </c>
      <c r="V32" s="21"/>
      <c r="W32" s="53" t="s">
        <v>164</v>
      </c>
      <c r="X32" s="37" t="s">
        <v>427</v>
      </c>
      <c r="Y32" s="50" t="s">
        <v>335</v>
      </c>
      <c r="Z32" s="19"/>
      <c r="AA32" s="19">
        <v>13355412003</v>
      </c>
      <c r="AB32" s="23" t="s">
        <v>428</v>
      </c>
      <c r="AC32" s="19"/>
      <c r="AD32" s="68" t="s">
        <v>164</v>
      </c>
      <c r="AE32" s="37" t="s">
        <v>504</v>
      </c>
      <c r="AF32" s="19" t="s">
        <v>66</v>
      </c>
      <c r="AG32" s="19">
        <v>15309719572</v>
      </c>
      <c r="AH32" s="23" t="s">
        <v>112</v>
      </c>
      <c r="AI32" s="19"/>
      <c r="AJ32" s="37"/>
      <c r="AK32" s="23" t="s">
        <v>183</v>
      </c>
      <c r="AL32" s="23" t="str">
        <f t="shared" si="1"/>
        <v>miaokai@inspur.com;yangxueli@inspur.com;</v>
      </c>
      <c r="AM32" s="35" t="s">
        <v>183</v>
      </c>
      <c r="AN32" s="35" t="s">
        <v>183</v>
      </c>
      <c r="AO32" s="54" t="s">
        <v>164</v>
      </c>
      <c r="AP32" s="37" t="s">
        <v>149</v>
      </c>
      <c r="AQ32" s="23" t="s">
        <v>300</v>
      </c>
      <c r="AR32" s="19" t="s">
        <v>143</v>
      </c>
      <c r="AS32" s="20">
        <v>18697133660</v>
      </c>
      <c r="AT32" s="37"/>
      <c r="AU32" s="19"/>
      <c r="AV32" s="19"/>
      <c r="AW32" s="19"/>
    </row>
    <row r="33" spans="18:49" ht="15.75" customHeight="1" x14ac:dyDescent="0.35">
      <c r="R33" s="48" t="s">
        <v>206</v>
      </c>
      <c r="S33" s="3" t="s">
        <v>571</v>
      </c>
      <c r="T33" s="3">
        <v>13376415888</v>
      </c>
      <c r="U33" s="4" t="s">
        <v>570</v>
      </c>
      <c r="V33" s="22"/>
      <c r="W33" s="53" t="s">
        <v>505</v>
      </c>
      <c r="X33" s="37" t="s">
        <v>208</v>
      </c>
      <c r="Y33" s="50" t="s">
        <v>287</v>
      </c>
      <c r="Z33" s="19"/>
      <c r="AA33" s="19">
        <v>17380628812</v>
      </c>
      <c r="AB33" s="23" t="s">
        <v>310</v>
      </c>
      <c r="AC33" s="19"/>
      <c r="AD33" s="68" t="s">
        <v>505</v>
      </c>
      <c r="AE33" s="37" t="s">
        <v>506</v>
      </c>
      <c r="AF33" s="65" t="s">
        <v>183</v>
      </c>
      <c r="AG33" s="19"/>
      <c r="AH33" s="23" t="s">
        <v>255</v>
      </c>
      <c r="AI33" s="19"/>
      <c r="AJ33" s="37"/>
      <c r="AK33" s="23" t="s">
        <v>183</v>
      </c>
      <c r="AL33" s="23" t="str">
        <f t="shared" si="1"/>
        <v>;aixy@inspur.com;</v>
      </c>
      <c r="AM33" s="35" t="s">
        <v>183</v>
      </c>
      <c r="AN33" s="35" t="s">
        <v>183</v>
      </c>
      <c r="AO33" s="54" t="s">
        <v>206</v>
      </c>
      <c r="AP33" s="37"/>
      <c r="AQ33" s="23"/>
      <c r="AR33" s="19"/>
      <c r="AS33" s="20"/>
      <c r="AT33" s="37"/>
      <c r="AU33" s="19"/>
      <c r="AV33" s="19"/>
      <c r="AW33" s="19"/>
    </row>
    <row r="34" spans="18:49" ht="15.75" customHeight="1" x14ac:dyDescent="0.35">
      <c r="R34" s="49" t="s">
        <v>194</v>
      </c>
      <c r="S34" s="37"/>
      <c r="T34" s="19"/>
      <c r="U34" s="23"/>
      <c r="V34" s="19"/>
      <c r="W34" s="53" t="s">
        <v>507</v>
      </c>
      <c r="X34" s="37"/>
      <c r="Y34" s="50" t="s">
        <v>183</v>
      </c>
      <c r="Z34" s="19"/>
      <c r="AA34" s="19"/>
      <c r="AB34" s="23"/>
      <c r="AC34" s="19"/>
      <c r="AD34" s="68" t="s">
        <v>507</v>
      </c>
      <c r="AE34" s="37" t="s">
        <v>508</v>
      </c>
      <c r="AF34" s="65" t="s">
        <v>183</v>
      </c>
      <c r="AG34" s="19"/>
      <c r="AH34" s="23" t="s">
        <v>247</v>
      </c>
      <c r="AI34" s="19"/>
      <c r="AJ34" s="37"/>
      <c r="AK34" s="23"/>
      <c r="AL34" s="23" t="str">
        <f t="shared" si="1"/>
        <v>;gaozhm@inspur.com;</v>
      </c>
      <c r="AM34" s="35" t="s">
        <v>183</v>
      </c>
      <c r="AN34" s="35" t="s">
        <v>183</v>
      </c>
      <c r="AO34" s="54" t="s">
        <v>194</v>
      </c>
      <c r="AP34" s="37"/>
      <c r="AQ34" s="23"/>
      <c r="AR34" s="19"/>
      <c r="AS34" s="20"/>
      <c r="AT34" s="37"/>
      <c r="AU34" s="19"/>
      <c r="AV34" s="19"/>
      <c r="AW34" s="19"/>
    </row>
    <row r="35" spans="18:49" ht="15.75" customHeight="1" x14ac:dyDescent="0.35">
      <c r="R35" s="49" t="s">
        <v>195</v>
      </c>
      <c r="S35" s="37"/>
      <c r="T35" s="19"/>
      <c r="U35" s="23"/>
      <c r="V35" s="19"/>
      <c r="W35" s="53" t="s">
        <v>195</v>
      </c>
      <c r="X35" s="37"/>
      <c r="Y35" s="50" t="s">
        <v>183</v>
      </c>
      <c r="Z35" s="19"/>
      <c r="AA35" s="19"/>
      <c r="AB35" s="23"/>
      <c r="AC35" s="19"/>
      <c r="AD35" s="68" t="s">
        <v>195</v>
      </c>
      <c r="AE35" s="37" t="s">
        <v>196</v>
      </c>
      <c r="AF35" s="65" t="s">
        <v>183</v>
      </c>
      <c r="AG35" s="19"/>
      <c r="AH35" s="23" t="s">
        <v>225</v>
      </c>
      <c r="AI35" s="19"/>
      <c r="AJ35" s="37"/>
      <c r="AK35" s="23"/>
      <c r="AL35" s="23" t="str">
        <f t="shared" si="1"/>
        <v>;wangjiao@inspur.com;</v>
      </c>
      <c r="AM35" s="35" t="s">
        <v>183</v>
      </c>
      <c r="AN35" s="35" t="s">
        <v>183</v>
      </c>
      <c r="AO35" s="54" t="s">
        <v>195</v>
      </c>
      <c r="AP35" s="37"/>
      <c r="AQ35" s="23"/>
      <c r="AR35" s="19"/>
      <c r="AS35" s="20"/>
      <c r="AT35" s="37"/>
      <c r="AU35" s="19"/>
      <c r="AV35" s="19"/>
      <c r="AW35" s="19"/>
    </row>
    <row r="36" spans="18:49" ht="15.75" customHeight="1" x14ac:dyDescent="0.35">
      <c r="R36" s="49" t="s">
        <v>197</v>
      </c>
      <c r="S36" s="1" t="s">
        <v>235</v>
      </c>
      <c r="T36" s="19"/>
      <c r="U36" s="23" t="s">
        <v>248</v>
      </c>
      <c r="V36" s="19"/>
      <c r="W36" s="53" t="s">
        <v>197</v>
      </c>
      <c r="X36" s="37" t="s">
        <v>241</v>
      </c>
      <c r="Y36" s="50" t="s">
        <v>275</v>
      </c>
      <c r="Z36" s="19"/>
      <c r="AA36" s="19">
        <v>13305317619</v>
      </c>
      <c r="AB36" s="23" t="s">
        <v>253</v>
      </c>
      <c r="AC36" s="19"/>
      <c r="AD36" s="68" t="s">
        <v>197</v>
      </c>
      <c r="AE36" s="37" t="s">
        <v>210</v>
      </c>
      <c r="AF36" s="65" t="s">
        <v>183</v>
      </c>
      <c r="AG36" s="19"/>
      <c r="AH36" s="23" t="s">
        <v>226</v>
      </c>
      <c r="AI36" s="19"/>
      <c r="AJ36" s="37"/>
      <c r="AK36" s="23"/>
      <c r="AL36" s="23" t="str">
        <f t="shared" si="1"/>
        <v>;liuzhiyu@inspur.com;</v>
      </c>
      <c r="AM36" s="35" t="s">
        <v>183</v>
      </c>
      <c r="AN36" s="35" t="s">
        <v>183</v>
      </c>
      <c r="AO36" s="54" t="s">
        <v>197</v>
      </c>
      <c r="AP36" s="37"/>
      <c r="AQ36" s="23"/>
      <c r="AR36" s="19"/>
      <c r="AS36" s="20"/>
      <c r="AT36" s="37"/>
      <c r="AU36" s="19"/>
      <c r="AV36" s="19"/>
      <c r="AW36" s="19"/>
    </row>
    <row r="37" spans="18:49" ht="15.75" customHeight="1" x14ac:dyDescent="0.35">
      <c r="R37" s="49" t="s">
        <v>198</v>
      </c>
      <c r="S37" s="1" t="s">
        <v>236</v>
      </c>
      <c r="T37" s="19"/>
      <c r="U37" s="23" t="s">
        <v>249</v>
      </c>
      <c r="V37" s="19"/>
      <c r="W37" s="53" t="s">
        <v>198</v>
      </c>
      <c r="X37" s="37" t="s">
        <v>242</v>
      </c>
      <c r="Y37" s="50" t="s">
        <v>281</v>
      </c>
      <c r="Z37" s="19"/>
      <c r="AA37" s="19">
        <v>18901155067</v>
      </c>
      <c r="AB37" s="23" t="s">
        <v>254</v>
      </c>
      <c r="AC37" s="19"/>
      <c r="AD37" s="68" t="s">
        <v>198</v>
      </c>
      <c r="AE37" s="37" t="s">
        <v>211</v>
      </c>
      <c r="AF37" s="65" t="s">
        <v>183</v>
      </c>
      <c r="AG37" s="19"/>
      <c r="AH37" s="23" t="s">
        <v>227</v>
      </c>
      <c r="AI37" s="19"/>
      <c r="AJ37" s="37"/>
      <c r="AK37" s="23"/>
      <c r="AL37" s="23" t="str">
        <f t="shared" si="1"/>
        <v>fujt@inspur.com;chenfy@inspur.com;</v>
      </c>
      <c r="AM37" s="35" t="s">
        <v>183</v>
      </c>
      <c r="AN37" s="35" t="s">
        <v>183</v>
      </c>
      <c r="AO37" s="54" t="s">
        <v>198</v>
      </c>
      <c r="AP37" s="37" t="s">
        <v>311</v>
      </c>
      <c r="AQ37" s="23" t="s">
        <v>312</v>
      </c>
      <c r="AR37" s="19"/>
      <c r="AS37" s="20">
        <v>18600040407</v>
      </c>
      <c r="AT37" s="37"/>
      <c r="AU37" s="19"/>
      <c r="AV37" s="19"/>
      <c r="AW37" s="19"/>
    </row>
    <row r="38" spans="18:49" ht="15.75" customHeight="1" x14ac:dyDescent="0.35">
      <c r="R38" s="49" t="s">
        <v>199</v>
      </c>
      <c r="S38" s="1" t="s">
        <v>237</v>
      </c>
      <c r="T38" s="19"/>
      <c r="U38" s="23" t="s">
        <v>250</v>
      </c>
      <c r="V38" s="19"/>
      <c r="W38" s="53" t="s">
        <v>199</v>
      </c>
      <c r="X38" s="37" t="s">
        <v>437</v>
      </c>
      <c r="Y38" s="50" t="s">
        <v>438</v>
      </c>
      <c r="Z38" s="19"/>
      <c r="AA38" s="19">
        <v>18600500301</v>
      </c>
      <c r="AB38" s="23" t="s">
        <v>439</v>
      </c>
      <c r="AC38" s="19"/>
      <c r="AD38" s="68" t="s">
        <v>199</v>
      </c>
      <c r="AE38" s="37" t="s">
        <v>212</v>
      </c>
      <c r="AF38" s="65" t="s">
        <v>183</v>
      </c>
      <c r="AG38" s="19"/>
      <c r="AH38" s="23" t="s">
        <v>228</v>
      </c>
      <c r="AI38" s="19"/>
      <c r="AJ38" s="37"/>
      <c r="AK38" s="23"/>
      <c r="AL38" s="23" t="str">
        <f t="shared" si="1"/>
        <v>;wangjinping@inspur.com;</v>
      </c>
      <c r="AM38" s="35" t="s">
        <v>183</v>
      </c>
      <c r="AN38" s="35" t="s">
        <v>183</v>
      </c>
      <c r="AO38" s="54" t="s">
        <v>199</v>
      </c>
      <c r="AP38" s="37"/>
      <c r="AQ38" s="23"/>
      <c r="AR38" s="19"/>
      <c r="AS38" s="20"/>
      <c r="AT38" s="37"/>
      <c r="AU38" s="19"/>
      <c r="AV38" s="19"/>
      <c r="AW38" s="19"/>
    </row>
    <row r="39" spans="18:49" ht="15.75" customHeight="1" x14ac:dyDescent="0.35">
      <c r="R39" s="49" t="s">
        <v>200</v>
      </c>
      <c r="S39" s="1" t="s">
        <v>238</v>
      </c>
      <c r="T39" s="19"/>
      <c r="U39" s="23" t="s">
        <v>251</v>
      </c>
      <c r="V39" s="19"/>
      <c r="W39" s="53" t="s">
        <v>200</v>
      </c>
      <c r="X39" s="37" t="s">
        <v>433</v>
      </c>
      <c r="Y39" s="50" t="s">
        <v>288</v>
      </c>
      <c r="Z39" s="19"/>
      <c r="AA39" s="19">
        <v>13911595951</v>
      </c>
      <c r="AB39" s="23" t="s">
        <v>434</v>
      </c>
      <c r="AC39" s="19"/>
      <c r="AD39" s="68" t="s">
        <v>200</v>
      </c>
      <c r="AE39" s="37" t="s">
        <v>510</v>
      </c>
      <c r="AF39" s="65" t="s">
        <v>183</v>
      </c>
      <c r="AG39" s="19"/>
      <c r="AH39" s="23" t="s">
        <v>265</v>
      </c>
      <c r="AI39" s="19"/>
      <c r="AJ39" s="37"/>
      <c r="AK39" s="23"/>
      <c r="AL39" s="23" t="str">
        <f t="shared" si="1"/>
        <v>chenng@inspur.com;zhujiong@inspur.com;zhangxue@inspur.com;</v>
      </c>
      <c r="AM39" s="35" t="s">
        <v>183</v>
      </c>
      <c r="AN39" s="35" t="s">
        <v>183</v>
      </c>
      <c r="AO39" s="54" t="s">
        <v>200</v>
      </c>
      <c r="AP39" s="37" t="s">
        <v>264</v>
      </c>
      <c r="AQ39" s="23" t="s">
        <v>267</v>
      </c>
      <c r="AR39" s="19" t="s">
        <v>268</v>
      </c>
      <c r="AS39" s="20"/>
      <c r="AT39" s="37"/>
      <c r="AU39" s="19"/>
      <c r="AV39" s="19"/>
      <c r="AW39" s="19"/>
    </row>
    <row r="40" spans="18:49" ht="15.75" customHeight="1" x14ac:dyDescent="0.35">
      <c r="R40" s="49" t="s">
        <v>201</v>
      </c>
      <c r="S40" s="1" t="s">
        <v>239</v>
      </c>
      <c r="T40" s="19"/>
      <c r="U40" s="23" t="s">
        <v>252</v>
      </c>
      <c r="V40" s="19"/>
      <c r="W40" s="53" t="s">
        <v>201</v>
      </c>
      <c r="X40" s="74" t="s">
        <v>530</v>
      </c>
      <c r="Y40" s="50" t="s">
        <v>531</v>
      </c>
      <c r="Z40" s="19"/>
      <c r="AA40" s="19">
        <v>18660780676</v>
      </c>
      <c r="AB40" s="4" t="s">
        <v>529</v>
      </c>
      <c r="AC40" s="19"/>
      <c r="AD40" s="68" t="s">
        <v>201</v>
      </c>
      <c r="AE40" s="37" t="s">
        <v>213</v>
      </c>
      <c r="AF40" s="65" t="s">
        <v>183</v>
      </c>
      <c r="AG40" s="19"/>
      <c r="AH40" s="23" t="s">
        <v>229</v>
      </c>
      <c r="AI40" s="19"/>
      <c r="AJ40" s="37"/>
      <c r="AK40" s="23"/>
      <c r="AL40" s="23" t="str">
        <f t="shared" si="1"/>
        <v>;tingzhang@inspur.com;</v>
      </c>
      <c r="AM40" s="35" t="s">
        <v>183</v>
      </c>
      <c r="AN40" s="35" t="s">
        <v>183</v>
      </c>
      <c r="AO40" s="54" t="s">
        <v>201</v>
      </c>
      <c r="AP40" s="37"/>
      <c r="AQ40" s="23"/>
      <c r="AR40" s="19"/>
      <c r="AS40" s="20"/>
      <c r="AT40" s="37"/>
      <c r="AU40" s="19"/>
      <c r="AV40" s="19"/>
      <c r="AW40" s="19"/>
    </row>
    <row r="41" spans="18:49" ht="15.75" customHeight="1" x14ac:dyDescent="0.35">
      <c r="R41" s="49" t="s">
        <v>202</v>
      </c>
      <c r="S41" s="82" t="s">
        <v>573</v>
      </c>
      <c r="T41" s="19"/>
      <c r="U41" s="23"/>
      <c r="V41" s="19"/>
      <c r="W41" s="53" t="s">
        <v>202</v>
      </c>
      <c r="X41" s="37"/>
      <c r="Y41" s="50" t="s">
        <v>183</v>
      </c>
      <c r="Z41" s="19"/>
      <c r="AA41" s="19"/>
      <c r="AB41" s="23"/>
      <c r="AC41" s="19"/>
      <c r="AD41" s="68" t="s">
        <v>511</v>
      </c>
      <c r="AE41" s="37" t="s">
        <v>214</v>
      </c>
      <c r="AF41" s="65" t="s">
        <v>183</v>
      </c>
      <c r="AG41" s="19"/>
      <c r="AH41" s="23" t="s">
        <v>230</v>
      </c>
      <c r="AI41" s="19"/>
      <c r="AJ41" s="37"/>
      <c r="AK41" s="23"/>
      <c r="AL41" s="23" t="str">
        <f t="shared" si="1"/>
        <v>;sunxch@inspur.com;</v>
      </c>
      <c r="AM41" s="35" t="s">
        <v>183</v>
      </c>
      <c r="AN41" s="35" t="s">
        <v>183</v>
      </c>
      <c r="AO41" s="54" t="s">
        <v>202</v>
      </c>
      <c r="AP41" s="37"/>
      <c r="AQ41" s="23"/>
      <c r="AR41" s="19"/>
      <c r="AS41" s="20"/>
      <c r="AT41" s="37"/>
      <c r="AU41" s="19"/>
      <c r="AV41" s="19"/>
      <c r="AW41" s="19"/>
    </row>
    <row r="42" spans="18:49" ht="15.75" customHeight="1" x14ac:dyDescent="0.35">
      <c r="R42" s="49" t="s">
        <v>203</v>
      </c>
      <c r="S42" s="37" t="s">
        <v>338</v>
      </c>
      <c r="T42" s="19"/>
      <c r="U42" s="23" t="s">
        <v>337</v>
      </c>
      <c r="V42" s="19"/>
      <c r="W42" s="53" t="s">
        <v>203</v>
      </c>
      <c r="X42" s="37" t="s">
        <v>340</v>
      </c>
      <c r="Y42" s="50" t="s">
        <v>341</v>
      </c>
      <c r="Z42" s="19"/>
      <c r="AA42" s="19">
        <v>13905317501</v>
      </c>
      <c r="AB42" s="23" t="s">
        <v>339</v>
      </c>
      <c r="AC42" s="19"/>
      <c r="AD42" s="68" t="s">
        <v>512</v>
      </c>
      <c r="AE42" s="37" t="s">
        <v>215</v>
      </c>
      <c r="AF42" s="65" t="s">
        <v>183</v>
      </c>
      <c r="AG42" s="19"/>
      <c r="AH42" s="23" t="s">
        <v>231</v>
      </c>
      <c r="AI42" s="19"/>
      <c r="AJ42" s="37"/>
      <c r="AK42" s="23"/>
      <c r="AL42" s="23" t="str">
        <f t="shared" si="1"/>
        <v>;kanhx@inspur.com;</v>
      </c>
      <c r="AM42" s="35" t="s">
        <v>183</v>
      </c>
      <c r="AN42" s="35" t="s">
        <v>183</v>
      </c>
      <c r="AO42" s="54" t="s">
        <v>203</v>
      </c>
      <c r="AP42" s="37"/>
      <c r="AQ42" s="23"/>
      <c r="AR42" s="19"/>
      <c r="AS42" s="20"/>
      <c r="AT42" s="37"/>
      <c r="AU42" s="19"/>
      <c r="AV42" s="19"/>
      <c r="AW42" s="19"/>
    </row>
    <row r="43" spans="18:49" ht="15.75" customHeight="1" x14ac:dyDescent="0.35">
      <c r="R43" s="49" t="s">
        <v>204</v>
      </c>
      <c r="S43" s="82" t="s">
        <v>572</v>
      </c>
      <c r="T43" s="19"/>
      <c r="U43" s="23"/>
      <c r="V43" s="19"/>
      <c r="W43" s="53" t="s">
        <v>204</v>
      </c>
      <c r="X43" s="37"/>
      <c r="Y43" s="50" t="s">
        <v>183</v>
      </c>
      <c r="Z43" s="19"/>
      <c r="AA43" s="19"/>
      <c r="AB43" s="23"/>
      <c r="AC43" s="19"/>
      <c r="AD43" s="68" t="s">
        <v>513</v>
      </c>
      <c r="AE43" s="37" t="s">
        <v>514</v>
      </c>
      <c r="AF43" s="65" t="s">
        <v>183</v>
      </c>
      <c r="AG43" s="19"/>
      <c r="AH43" s="23" t="s">
        <v>232</v>
      </c>
      <c r="AI43" s="19"/>
      <c r="AJ43" s="37"/>
      <c r="AK43" s="23"/>
      <c r="AL43" s="23" t="str">
        <f t="shared" si="1"/>
        <v>;li-xiaojing@inspur.com;</v>
      </c>
      <c r="AM43" s="35" t="s">
        <v>183</v>
      </c>
      <c r="AN43" s="35" t="s">
        <v>183</v>
      </c>
      <c r="AO43" s="54" t="s">
        <v>204</v>
      </c>
      <c r="AP43" s="37"/>
      <c r="AQ43" s="23"/>
      <c r="AR43" s="19"/>
      <c r="AS43" s="20"/>
      <c r="AT43" s="37"/>
      <c r="AU43" s="19"/>
      <c r="AV43" s="19"/>
      <c r="AW43" s="19"/>
    </row>
    <row r="44" spans="18:49" ht="15.75" customHeight="1" x14ac:dyDescent="0.35">
      <c r="R44" s="49" t="s">
        <v>410</v>
      </c>
      <c r="S44" s="37" t="s">
        <v>240</v>
      </c>
      <c r="T44" s="19"/>
      <c r="U44" s="23" t="s">
        <v>314</v>
      </c>
      <c r="V44" s="19"/>
      <c r="W44" s="53" t="s">
        <v>410</v>
      </c>
      <c r="X44" s="37" t="s">
        <v>326</v>
      </c>
      <c r="Y44" s="50" t="s">
        <v>327</v>
      </c>
      <c r="Z44" s="19"/>
      <c r="AA44" s="19">
        <v>13911226521</v>
      </c>
      <c r="AB44" s="23" t="s">
        <v>325</v>
      </c>
      <c r="AC44" s="19"/>
      <c r="AD44" s="68" t="s">
        <v>515</v>
      </c>
      <c r="AE44" s="37" t="s">
        <v>216</v>
      </c>
      <c r="AF44" s="65" t="s">
        <v>183</v>
      </c>
      <c r="AG44" s="19"/>
      <c r="AH44" s="23" t="s">
        <v>233</v>
      </c>
      <c r="AI44" s="19"/>
      <c r="AJ44" s="37"/>
      <c r="AK44" s="23"/>
      <c r="AL44" s="23" t="str">
        <f t="shared" si="1"/>
        <v>;zhanglinjun@inspur.com;</v>
      </c>
      <c r="AM44" s="35" t="s">
        <v>183</v>
      </c>
      <c r="AN44" s="35" t="s">
        <v>183</v>
      </c>
      <c r="AO44" s="54" t="s">
        <v>410</v>
      </c>
      <c r="AP44" s="37"/>
      <c r="AQ44" s="23"/>
      <c r="AR44" s="19"/>
      <c r="AS44" s="20"/>
      <c r="AT44" s="37"/>
      <c r="AU44" s="19"/>
      <c r="AV44" s="19"/>
      <c r="AW44" s="19"/>
    </row>
    <row r="45" spans="18:49" ht="15.75" customHeight="1" x14ac:dyDescent="0.35">
      <c r="R45" s="49" t="s">
        <v>411</v>
      </c>
      <c r="S45" s="37" t="s">
        <v>441</v>
      </c>
      <c r="T45" s="19"/>
      <c r="U45" s="23" t="s">
        <v>442</v>
      </c>
      <c r="V45" s="19"/>
      <c r="W45" s="53" t="s">
        <v>411</v>
      </c>
      <c r="X45" s="37" t="s">
        <v>412</v>
      </c>
      <c r="Y45" s="50" t="s">
        <v>413</v>
      </c>
      <c r="Z45" s="19"/>
      <c r="AA45" s="19">
        <v>18618357088</v>
      </c>
      <c r="AB45" s="23" t="s">
        <v>414</v>
      </c>
      <c r="AC45" s="19"/>
      <c r="AD45" s="68"/>
      <c r="AE45" s="37"/>
      <c r="AF45" s="65" t="s">
        <v>183</v>
      </c>
      <c r="AG45" s="19"/>
      <c r="AH45" s="23"/>
      <c r="AI45" s="19"/>
      <c r="AJ45" s="37"/>
      <c r="AK45" s="23"/>
      <c r="AL45" s="23"/>
      <c r="AM45" s="35"/>
      <c r="AN45" s="35" t="s">
        <v>183</v>
      </c>
      <c r="AO45" s="54"/>
      <c r="AP45" s="37"/>
      <c r="AQ45" s="23"/>
      <c r="AR45" s="19"/>
      <c r="AS45" s="20"/>
      <c r="AT45" s="37"/>
      <c r="AU45" s="19"/>
      <c r="AV45" s="19"/>
      <c r="AW45" s="19"/>
    </row>
  </sheetData>
  <autoFilter ref="A1:AW2"/>
  <phoneticPr fontId="6" type="noConversion"/>
  <hyperlinks>
    <hyperlink ref="J2" r:id="rId1"/>
    <hyperlink ref="AQ22" r:id="rId2"/>
    <hyperlink ref="AQ39" r:id="rId3"/>
    <hyperlink ref="AK26" r:id="rId4"/>
    <hyperlink ref="AQ37" r:id="rId5"/>
    <hyperlink ref="AK25" r:id="rId6"/>
    <hyperlink ref="AB25" r:id="rId7"/>
    <hyperlink ref="AB13" r:id="rId8"/>
    <hyperlink ref="AB44" r:id="rId9"/>
    <hyperlink ref="AW22" r:id="rId10"/>
    <hyperlink ref="AB19" r:id="rId11"/>
    <hyperlink ref="AB21" r:id="rId12"/>
    <hyperlink ref="AB42" r:id="rId13"/>
    <hyperlink ref="AB16" r:id="rId14"/>
    <hyperlink ref="AQ25" r:id="rId15"/>
    <hyperlink ref="AB18" r:id="rId16"/>
    <hyperlink ref="AB22" r:id="rId17"/>
    <hyperlink ref="AK7" r:id="rId18"/>
    <hyperlink ref="AB4" r:id="rId19"/>
    <hyperlink ref="AB11" r:id="rId20"/>
    <hyperlink ref="AB23" r:id="rId21"/>
    <hyperlink ref="AB45" r:id="rId22"/>
    <hyperlink ref="AB26" r:id="rId23"/>
    <hyperlink ref="AB9" r:id="rId24"/>
    <hyperlink ref="AB32" r:id="rId25"/>
    <hyperlink ref="AB20" r:id="rId26"/>
    <hyperlink ref="AB39" r:id="rId27"/>
    <hyperlink ref="AB40" r:id="rId28"/>
    <hyperlink ref="AB30" r:id="rId29"/>
    <hyperlink ref="U11" r:id="rId30"/>
    <hyperlink ref="U33" r:id="rId31"/>
  </hyperlinks>
  <pageMargins left="0.7" right="0.7" top="0.75" bottom="0.75" header="0.3" footer="0.3"/>
  <pageSetup paperSize="9" orientation="portrait" r:id="rId32"/>
  <drawing r:id="rId33"/>
  <legacyDrawing r:id="rId3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0305" r:id="rId35" name="Button 1">
              <controlPr defaultSize="0" print="0" autoFill="0" autoPict="0" macro="[0]!批量发送邮件">
                <anchor moveWithCells="1">
                  <from>
                    <xdr:col>1</xdr:col>
                    <xdr:colOff>371475</xdr:colOff>
                    <xdr:row>0</xdr:row>
                    <xdr:rowOff>19050</xdr:rowOff>
                  </from>
                  <to>
                    <xdr:col>2</xdr:col>
                    <xdr:colOff>276225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AS45"/>
  <sheetViews>
    <sheetView showGridLines="0" zoomScale="90" zoomScaleNormal="9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K27" sqref="K27"/>
    </sheetView>
  </sheetViews>
  <sheetFormatPr defaultRowHeight="15.75" customHeight="1" outlineLevelCol="1" x14ac:dyDescent="0.15"/>
  <cols>
    <col min="1" max="1" width="8.125" style="24" customWidth="1"/>
    <col min="2" max="2" width="12.125" style="24" customWidth="1"/>
    <col min="3" max="3" width="4.25" style="26" customWidth="1"/>
    <col min="4" max="4" width="5.125" style="26" customWidth="1"/>
    <col min="5" max="5" width="11.5" style="24" customWidth="1"/>
    <col min="6" max="6" width="7.5" style="29" customWidth="1"/>
    <col min="7" max="7" width="3.875" style="40" customWidth="1"/>
    <col min="8" max="8" width="2.625" style="40" customWidth="1"/>
    <col min="9" max="9" width="7.625" style="40" customWidth="1"/>
    <col min="10" max="10" width="4.875" style="40" customWidth="1"/>
    <col min="11" max="11" width="5" style="26" customWidth="1"/>
    <col min="12" max="12" width="4.25" style="26" customWidth="1"/>
    <col min="13" max="13" width="7.75" style="26" customWidth="1"/>
    <col min="14" max="14" width="4.5" style="41" customWidth="1"/>
    <col min="15" max="15" width="6.375" style="29" customWidth="1"/>
    <col min="16" max="16" width="15.875" style="26" hidden="1" customWidth="1"/>
    <col min="17" max="17" width="5.25" style="42" customWidth="1"/>
    <col min="18" max="18" width="10.75" style="26" hidden="1" customWidth="1"/>
    <col min="19" max="19" width="4.5" style="43" customWidth="1"/>
    <col min="20" max="20" width="5.5" style="29" customWidth="1"/>
    <col min="21" max="21" width="5.75" style="26" customWidth="1"/>
    <col min="22" max="22" width="3.25" style="26" hidden="1" customWidth="1"/>
    <col min="23" max="23" width="12.625" style="26" customWidth="1"/>
    <col min="24" max="24" width="4.625" style="25" customWidth="1"/>
    <col min="25" max="25" width="12" style="26" hidden="1" customWidth="1"/>
    <col min="26" max="26" width="5.25" style="24" customWidth="1"/>
    <col min="27" max="27" width="8" style="26" customWidth="1"/>
    <col min="28" max="28" width="7.25" style="26" hidden="1" customWidth="1"/>
    <col min="29" max="29" width="12.25" style="26" hidden="1" customWidth="1"/>
    <col min="30" max="30" width="5.125" style="25" customWidth="1"/>
    <col min="31" max="31" width="8.25" style="26" hidden="1" customWidth="1"/>
    <col min="32" max="32" width="7" style="26" customWidth="1" outlineLevel="1"/>
    <col min="33" max="33" width="3.875" style="25" customWidth="1" outlineLevel="1"/>
    <col min="34" max="34" width="5.125" style="25" customWidth="1" outlineLevel="1"/>
    <col min="35" max="35" width="3.5" style="26" customWidth="1" outlineLevel="1"/>
    <col min="36" max="36" width="2.75" style="26" customWidth="1" outlineLevel="1"/>
    <col min="37" max="37" width="10.875" style="26" customWidth="1" outlineLevel="1"/>
    <col min="38" max="38" width="7.75" style="29" customWidth="1" outlineLevel="1"/>
    <col min="39" max="39" width="5.625" style="25" customWidth="1" outlineLevel="1"/>
    <col min="40" max="40" width="7.5" style="26" customWidth="1" outlineLevel="1"/>
    <col min="41" max="41" width="12.875" style="43" customWidth="1" outlineLevel="1"/>
    <col min="42" max="42" width="6.25" style="26" customWidth="1" outlineLevel="1"/>
    <col min="43" max="43" width="7" style="26" customWidth="1" outlineLevel="1"/>
    <col min="44" max="44" width="14.5" style="26" customWidth="1" outlineLevel="1"/>
    <col min="45" max="45" width="9" style="26" customWidth="1" outlineLevel="1"/>
    <col min="46" max="16384" width="9" style="26"/>
  </cols>
  <sheetData>
    <row r="1" spans="1:45" s="29" customFormat="1" ht="15.75" customHeight="1" x14ac:dyDescent="0.35">
      <c r="A1" s="66" t="s">
        <v>3</v>
      </c>
      <c r="B1" s="66" t="s">
        <v>4</v>
      </c>
      <c r="C1" s="14" t="s">
        <v>0</v>
      </c>
      <c r="D1" s="14" t="s">
        <v>1</v>
      </c>
      <c r="E1" s="66" t="s">
        <v>2</v>
      </c>
      <c r="F1" s="14" t="s">
        <v>6</v>
      </c>
      <c r="G1" s="14"/>
      <c r="H1" s="14" t="s">
        <v>188</v>
      </c>
      <c r="I1" s="14" t="s">
        <v>271</v>
      </c>
      <c r="J1" s="14" t="s">
        <v>0</v>
      </c>
      <c r="K1" s="14" t="s">
        <v>245</v>
      </c>
      <c r="L1" s="14" t="s">
        <v>290</v>
      </c>
      <c r="M1" s="14" t="s">
        <v>291</v>
      </c>
      <c r="N1" s="10" t="s">
        <v>113</v>
      </c>
      <c r="O1" s="10" t="s">
        <v>158</v>
      </c>
      <c r="P1" s="11" t="s">
        <v>8</v>
      </c>
      <c r="Q1" s="12" t="s">
        <v>244</v>
      </c>
      <c r="R1" s="10" t="s">
        <v>9</v>
      </c>
      <c r="S1" s="51" t="s">
        <v>140</v>
      </c>
      <c r="T1" s="13" t="s">
        <v>156</v>
      </c>
      <c r="U1" s="13" t="s">
        <v>273</v>
      </c>
      <c r="V1" s="13" t="s">
        <v>141</v>
      </c>
      <c r="W1" s="13" t="s">
        <v>63</v>
      </c>
      <c r="X1" s="44" t="s">
        <v>142</v>
      </c>
      <c r="Y1" s="13" t="s">
        <v>9</v>
      </c>
      <c r="Z1" s="66" t="s">
        <v>5</v>
      </c>
      <c r="AA1" s="14" t="s">
        <v>157</v>
      </c>
      <c r="AB1" s="14" t="s">
        <v>62</v>
      </c>
      <c r="AC1" s="14" t="s">
        <v>63</v>
      </c>
      <c r="AD1" s="55" t="s">
        <v>64</v>
      </c>
      <c r="AE1" s="14" t="s">
        <v>159</v>
      </c>
      <c r="AF1" s="14" t="s">
        <v>243</v>
      </c>
      <c r="AG1" s="55" t="s">
        <v>244</v>
      </c>
      <c r="AH1" s="55" t="s">
        <v>269</v>
      </c>
      <c r="AI1" s="27" t="s">
        <v>183</v>
      </c>
      <c r="AJ1" s="14"/>
      <c r="AK1" s="14" t="s">
        <v>5</v>
      </c>
      <c r="AL1" s="14" t="s">
        <v>259</v>
      </c>
      <c r="AM1" s="55" t="s">
        <v>260</v>
      </c>
      <c r="AN1" s="14" t="s">
        <v>262</v>
      </c>
      <c r="AO1" s="28" t="s">
        <v>301</v>
      </c>
      <c r="AP1" s="14"/>
      <c r="AQ1" s="14"/>
      <c r="AR1" s="14"/>
      <c r="AS1" s="14"/>
    </row>
    <row r="2" spans="1:45" ht="15.75" customHeight="1" x14ac:dyDescent="0.35">
      <c r="A2" s="15" t="str">
        <f t="shared" ref="A2:A45" si="0">IF(ISBLANK(X2),"",X2)</f>
        <v>shenfh@inspur.com</v>
      </c>
      <c r="B2" s="15" t="str">
        <f>Q2&amp;$L$2&amp;AH2</f>
        <v>shenfh@inspur.com;;shenfh@inspur.com;</v>
      </c>
      <c r="C2" s="16" t="str">
        <f>$J$2</f>
        <v>云服务集团5月业务数据</v>
      </c>
      <c r="D2" s="17" t="str">
        <f>U2&amp;$M$2</f>
        <v>A总，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2" s="15" t="str">
        <f>"F:\工作\3浪潮云服务\市场部\本次发送\工作表合并\"&amp;F2&amp;".xlsx"</f>
        <v>F:\工作\3浪潮云服务\市场部\本次发送\工作表合并\测试.xlsx</v>
      </c>
      <c r="F2" s="57" t="s">
        <v>7</v>
      </c>
      <c r="G2" s="30" t="s">
        <v>183</v>
      </c>
      <c r="H2" s="60">
        <v>1</v>
      </c>
      <c r="I2" s="60"/>
      <c r="J2" s="31" t="s">
        <v>319</v>
      </c>
      <c r="K2" s="16" t="s">
        <v>246</v>
      </c>
      <c r="L2" s="16" t="s">
        <v>258</v>
      </c>
      <c r="M2" s="32" t="s">
        <v>426</v>
      </c>
      <c r="N2" s="5" t="s">
        <v>174</v>
      </c>
      <c r="O2" s="6" t="s">
        <v>184</v>
      </c>
      <c r="P2" s="7">
        <v>15589965595</v>
      </c>
      <c r="Q2" s="25" t="s">
        <v>299</v>
      </c>
      <c r="R2" s="6"/>
      <c r="S2" s="52"/>
      <c r="T2" s="9" t="s">
        <v>186</v>
      </c>
      <c r="U2" s="9" t="s">
        <v>274</v>
      </c>
      <c r="V2" s="8"/>
      <c r="W2" s="45">
        <v>15589965595</v>
      </c>
      <c r="X2" s="45" t="s">
        <v>299</v>
      </c>
      <c r="Y2" s="9"/>
      <c r="Z2" s="67"/>
      <c r="AA2" s="33" t="s">
        <v>185</v>
      </c>
      <c r="AB2" s="62" t="s">
        <v>183</v>
      </c>
      <c r="AC2" s="33">
        <v>15589965595</v>
      </c>
      <c r="AD2" s="23" t="s">
        <v>299</v>
      </c>
      <c r="AE2" s="34"/>
      <c r="AF2" s="63" t="s">
        <v>183</v>
      </c>
      <c r="AG2" s="56"/>
      <c r="AH2" s="56" t="str">
        <f>AM2&amp;";"&amp;AD2&amp;";"&amp;AG2</f>
        <v>;shenfh@inspur.com;</v>
      </c>
      <c r="AI2" s="35" t="s">
        <v>183</v>
      </c>
      <c r="AJ2" s="35" t="s">
        <v>183</v>
      </c>
      <c r="AK2" s="58"/>
      <c r="AL2" s="37"/>
      <c r="AM2" s="23"/>
      <c r="AN2" s="19"/>
      <c r="AO2" s="20"/>
      <c r="AP2" s="19"/>
      <c r="AQ2" s="19"/>
      <c r="AR2" s="19"/>
      <c r="AS2" s="19"/>
    </row>
    <row r="3" spans="1:45" ht="16.5" hidden="1" customHeight="1" x14ac:dyDescent="0.35">
      <c r="A3" s="18" t="str">
        <f t="shared" si="0"/>
        <v>zhaoww@inspur.com</v>
      </c>
      <c r="B3" s="18" t="str">
        <f t="shared" ref="B3:B45" si="1">Q3&amp;$L$2&amp;AH3&amp;$L$2&amp;$K$2</f>
        <v>zhangge@inspur.com;;zhuln@inspur.com;;kangzp@inspur.com;tangjing@inspur.com;shenfh@inspur.com</v>
      </c>
      <c r="C3" s="19" t="str">
        <f t="shared" ref="C3:C45" si="2">$J$2</f>
        <v>云服务集团5月业务数据</v>
      </c>
      <c r="D3" s="20" t="str">
        <f t="shared" ref="D3:D45" si="3">U3&amp;$M$2</f>
        <v>赵总，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3" s="15" t="str">
        <f t="shared" ref="E3:E45" si="4">"F:\工作\3浪潮云服务\市场部\本次发送\工作表合并\"&amp;F3&amp;".xlsx"</f>
        <v>F:\工作\3浪潮云服务\市场部\本次发送\工作表合并\山东区.xlsx</v>
      </c>
      <c r="F3" s="69" t="s">
        <v>365</v>
      </c>
      <c r="G3" s="30"/>
      <c r="H3" s="61" t="str">
        <f>IF(ISERROR(VLOOKUP(F3,I:I,1,0)),"",1)</f>
        <v/>
      </c>
      <c r="I3" s="61"/>
      <c r="J3" s="36"/>
      <c r="M3" s="59" t="s">
        <v>318</v>
      </c>
      <c r="N3" s="46" t="s">
        <v>65</v>
      </c>
      <c r="O3" s="1" t="s">
        <v>40</v>
      </c>
      <c r="P3" s="1">
        <v>13305319906</v>
      </c>
      <c r="Q3" s="23" t="s">
        <v>41</v>
      </c>
      <c r="R3" s="21"/>
      <c r="S3" s="53" t="s">
        <v>443</v>
      </c>
      <c r="T3" s="37" t="s">
        <v>150</v>
      </c>
      <c r="U3" s="50" t="s">
        <v>275</v>
      </c>
      <c r="V3" s="19" t="s">
        <v>165</v>
      </c>
      <c r="W3" s="19">
        <v>15805316658</v>
      </c>
      <c r="X3" s="23" t="s">
        <v>304</v>
      </c>
      <c r="Y3" s="19"/>
      <c r="Z3" s="68" t="s">
        <v>443</v>
      </c>
      <c r="AA3" s="37" t="s">
        <v>444</v>
      </c>
      <c r="AB3" s="19" t="s">
        <v>66</v>
      </c>
      <c r="AC3" s="19">
        <v>18905310812</v>
      </c>
      <c r="AD3" s="23" t="s">
        <v>175</v>
      </c>
      <c r="AE3" s="19"/>
      <c r="AF3" s="64" t="s">
        <v>183</v>
      </c>
      <c r="AG3" s="23"/>
      <c r="AH3" s="23" t="str">
        <f t="shared" ref="AH3:AH44" si="5">AM3&amp;";"&amp;AD3&amp;";"&amp;AG3</f>
        <v>;zhuln@inspur.com;</v>
      </c>
      <c r="AI3" s="35" t="s">
        <v>183</v>
      </c>
      <c r="AJ3" s="35" t="s">
        <v>183</v>
      </c>
      <c r="AK3" s="54" t="s">
        <v>65</v>
      </c>
      <c r="AL3" s="37"/>
      <c r="AM3" s="23"/>
      <c r="AN3" s="19"/>
      <c r="AO3" s="20"/>
      <c r="AP3" s="37" t="s">
        <v>190</v>
      </c>
      <c r="AQ3" s="19" t="s">
        <v>217</v>
      </c>
      <c r="AR3" s="19"/>
      <c r="AS3" s="19"/>
    </row>
    <row r="4" spans="1:45" ht="15" customHeight="1" x14ac:dyDescent="0.35">
      <c r="A4" s="18" t="str">
        <f t="shared" si="0"/>
        <v>yangxubin@inspur.com</v>
      </c>
      <c r="B4" s="18" t="str">
        <f t="shared" si="1"/>
        <v>sunhb@inspur.com;;siyj@inspur.com;xuwenjun@inspur.com;kangzp@inspur.com;tangjing@inspur.com;shenfh@inspur.com</v>
      </c>
      <c r="C4" s="19" t="str">
        <f t="shared" si="2"/>
        <v>云服务集团5月业务数据</v>
      </c>
      <c r="D4" s="20" t="str">
        <f t="shared" si="3"/>
        <v>杨总，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4" s="56" t="str">
        <f t="shared" si="4"/>
        <v>F:\工作\3浪潮云服务\市场部\本次发送\工作表合并\广东区.xlsx</v>
      </c>
      <c r="F4" s="70" t="s">
        <v>366</v>
      </c>
      <c r="G4" s="30"/>
      <c r="H4" s="61">
        <f t="shared" ref="H4:H45" si="6">IF(ISERROR(VLOOKUP(F4,I:I,1,0)),"",1)</f>
        <v>1</v>
      </c>
      <c r="I4" s="78" t="s">
        <v>366</v>
      </c>
      <c r="J4" s="36"/>
      <c r="M4" s="59" t="s">
        <v>317</v>
      </c>
      <c r="N4" s="46" t="s">
        <v>67</v>
      </c>
      <c r="O4" s="1" t="s">
        <v>14</v>
      </c>
      <c r="P4" s="1">
        <v>13705316901</v>
      </c>
      <c r="Q4" s="23" t="s">
        <v>15</v>
      </c>
      <c r="R4" s="21"/>
      <c r="S4" s="53" t="s">
        <v>445</v>
      </c>
      <c r="T4" s="37" t="s">
        <v>402</v>
      </c>
      <c r="U4" s="50" t="s">
        <v>316</v>
      </c>
      <c r="V4" s="19"/>
      <c r="W4" s="19">
        <v>13332883876</v>
      </c>
      <c r="X4" s="23" t="s">
        <v>401</v>
      </c>
      <c r="Y4" s="19"/>
      <c r="Z4" s="68" t="s">
        <v>445</v>
      </c>
      <c r="AA4" s="37" t="s">
        <v>446</v>
      </c>
      <c r="AB4" s="19" t="s">
        <v>68</v>
      </c>
      <c r="AC4" s="19">
        <v>13711668336</v>
      </c>
      <c r="AD4" s="23" t="s">
        <v>69</v>
      </c>
      <c r="AE4" s="19"/>
      <c r="AF4" s="37" t="s">
        <v>191</v>
      </c>
      <c r="AG4" s="23" t="s">
        <v>218</v>
      </c>
      <c r="AH4" s="23" t="str">
        <f t="shared" si="5"/>
        <v>;siyj@inspur.com;xuwenjun@inspur.com</v>
      </c>
      <c r="AI4" s="35" t="s">
        <v>183</v>
      </c>
      <c r="AJ4" s="35" t="s">
        <v>183</v>
      </c>
      <c r="AK4" s="54" t="s">
        <v>67</v>
      </c>
      <c r="AL4" s="37"/>
      <c r="AM4" s="23"/>
      <c r="AN4" s="19"/>
      <c r="AO4" s="20"/>
      <c r="AP4" s="37"/>
      <c r="AQ4" s="19"/>
      <c r="AR4" s="19"/>
      <c r="AS4" s="19"/>
    </row>
    <row r="5" spans="1:45" ht="15.75" customHeight="1" x14ac:dyDescent="0.35">
      <c r="A5" s="18" t="str">
        <f t="shared" si="0"/>
        <v>baochx@inspur.com</v>
      </c>
      <c r="B5" s="18" t="str">
        <f t="shared" si="1"/>
        <v>zhanglzh@inspur.com;;feily@inspur.com;;kangzp@inspur.com;tangjing@inspur.com;shenfh@inspur.com</v>
      </c>
      <c r="C5" s="19" t="str">
        <f t="shared" si="2"/>
        <v>云服务集团5月业务数据</v>
      </c>
      <c r="D5" s="20" t="str">
        <f t="shared" si="3"/>
        <v>包总，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5" s="56" t="str">
        <f t="shared" si="4"/>
        <v>F:\工作\3浪潮云服务\市场部\本次发送\工作表合并\江苏区.xlsx</v>
      </c>
      <c r="F5" s="70" t="s">
        <v>367</v>
      </c>
      <c r="G5" s="30"/>
      <c r="H5" s="61">
        <f t="shared" si="6"/>
        <v>1</v>
      </c>
      <c r="I5" s="78" t="s">
        <v>367</v>
      </c>
      <c r="J5" s="36"/>
      <c r="M5" s="59" t="s">
        <v>292</v>
      </c>
      <c r="N5" s="46" t="s">
        <v>70</v>
      </c>
      <c r="O5" s="1" t="s">
        <v>32</v>
      </c>
      <c r="P5" s="1">
        <v>18651623927</v>
      </c>
      <c r="Q5" s="23" t="s">
        <v>33</v>
      </c>
      <c r="R5" s="21"/>
      <c r="S5" s="53" t="s">
        <v>139</v>
      </c>
      <c r="T5" s="37" t="s">
        <v>189</v>
      </c>
      <c r="U5" s="50" t="s">
        <v>276</v>
      </c>
      <c r="V5" s="19" t="s">
        <v>165</v>
      </c>
      <c r="W5" s="19">
        <v>13770728288</v>
      </c>
      <c r="X5" s="23" t="s">
        <v>305</v>
      </c>
      <c r="Y5" s="19"/>
      <c r="Z5" s="68" t="s">
        <v>447</v>
      </c>
      <c r="AA5" s="37" t="s">
        <v>448</v>
      </c>
      <c r="AB5" s="65" t="s">
        <v>183</v>
      </c>
      <c r="AC5" s="19">
        <v>13218035620</v>
      </c>
      <c r="AD5" s="23" t="s">
        <v>176</v>
      </c>
      <c r="AE5" s="19"/>
      <c r="AF5" s="37"/>
      <c r="AG5" s="23" t="s">
        <v>183</v>
      </c>
      <c r="AH5" s="23" t="str">
        <f t="shared" si="5"/>
        <v>;feily@inspur.com;</v>
      </c>
      <c r="AI5" s="35" t="s">
        <v>183</v>
      </c>
      <c r="AJ5" s="35" t="s">
        <v>183</v>
      </c>
      <c r="AK5" s="54" t="s">
        <v>139</v>
      </c>
      <c r="AL5" s="37"/>
      <c r="AM5" s="23"/>
      <c r="AN5" s="19"/>
      <c r="AO5" s="20"/>
      <c r="AP5" s="37"/>
      <c r="AQ5" s="19"/>
      <c r="AR5" s="19"/>
      <c r="AS5" s="19"/>
    </row>
    <row r="6" spans="1:45" ht="15.75" customHeight="1" x14ac:dyDescent="0.35">
      <c r="A6" s="18" t="str">
        <f t="shared" si="0"/>
        <v>xygy@inspur.com</v>
      </c>
      <c r="B6" s="18" t="str">
        <f t="shared" si="1"/>
        <v>chenchh@inspur.com;;liu_lin@inspur.com;;kangzp@inspur.com;tangjing@inspur.com;shenfh@inspur.com</v>
      </c>
      <c r="C6" s="19" t="str">
        <f t="shared" si="2"/>
        <v>云服务集团5月业务数据</v>
      </c>
      <c r="D6" s="20" t="str">
        <f t="shared" si="3"/>
        <v>轩辕总，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6" s="56" t="str">
        <f t="shared" si="4"/>
        <v>F:\工作\3浪潮云服务\市场部\本次发送\工作表合并\北京区.xlsx</v>
      </c>
      <c r="F6" s="70" t="s">
        <v>368</v>
      </c>
      <c r="G6" s="30"/>
      <c r="H6" s="61">
        <f t="shared" si="6"/>
        <v>1</v>
      </c>
      <c r="I6" s="61" t="s">
        <v>368</v>
      </c>
      <c r="J6" s="36"/>
      <c r="N6" s="46" t="s">
        <v>71</v>
      </c>
      <c r="O6" s="1" t="s">
        <v>12</v>
      </c>
      <c r="P6" s="1">
        <v>18610772799</v>
      </c>
      <c r="Q6" s="23" t="s">
        <v>13</v>
      </c>
      <c r="R6" s="21"/>
      <c r="S6" s="53" t="s">
        <v>138</v>
      </c>
      <c r="T6" s="37" t="s">
        <v>151</v>
      </c>
      <c r="U6" s="50" t="s">
        <v>289</v>
      </c>
      <c r="V6" s="19" t="s">
        <v>143</v>
      </c>
      <c r="W6" s="19">
        <v>18610161077</v>
      </c>
      <c r="X6" s="23" t="s">
        <v>167</v>
      </c>
      <c r="Y6" s="19"/>
      <c r="Z6" s="68" t="s">
        <v>449</v>
      </c>
      <c r="AA6" s="37" t="s">
        <v>450</v>
      </c>
      <c r="AB6" s="19" t="s">
        <v>66</v>
      </c>
      <c r="AC6" s="19">
        <v>15699733336</v>
      </c>
      <c r="AD6" s="23" t="s">
        <v>516</v>
      </c>
      <c r="AE6" s="19"/>
      <c r="AF6" s="37"/>
      <c r="AG6" s="23" t="s">
        <v>183</v>
      </c>
      <c r="AH6" s="23" t="str">
        <f t="shared" si="5"/>
        <v>;liu_lin@inspur.com;</v>
      </c>
      <c r="AI6" s="35" t="s">
        <v>183</v>
      </c>
      <c r="AJ6" s="35" t="s">
        <v>183</v>
      </c>
      <c r="AK6" s="54" t="s">
        <v>138</v>
      </c>
      <c r="AL6" s="37"/>
      <c r="AM6" s="23"/>
      <c r="AN6" s="19"/>
      <c r="AO6" s="20"/>
      <c r="AP6" s="37"/>
      <c r="AQ6" s="19"/>
      <c r="AR6" s="19"/>
      <c r="AS6" s="19"/>
    </row>
    <row r="7" spans="1:45" ht="15.75" hidden="1" customHeight="1" x14ac:dyDescent="0.35">
      <c r="A7" s="18" t="str">
        <f t="shared" si="0"/>
        <v>dengpf@inspur.com</v>
      </c>
      <c r="B7" s="18" t="str">
        <f t="shared" si="1"/>
        <v>wangrsh@inspur.com;;pengmin@inspur.com;caomi@inspur.com;dumenglan@inspur.com;kangzp@inspur.com;tangjing@inspur.com;shenfh@inspur.com</v>
      </c>
      <c r="C7" s="19" t="str">
        <f t="shared" si="2"/>
        <v>云服务集团5月业务数据</v>
      </c>
      <c r="D7" s="20" t="str">
        <f t="shared" si="3"/>
        <v>邓总，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7" s="56" t="str">
        <f t="shared" si="4"/>
        <v>F:\工作\3浪潮云服务\市场部\本次发送\工作表合并\四川区.xlsx</v>
      </c>
      <c r="F7" s="1" t="s">
        <v>369</v>
      </c>
      <c r="G7" s="30"/>
      <c r="H7" s="61" t="str">
        <f t="shared" si="6"/>
        <v/>
      </c>
      <c r="I7" s="61" t="s">
        <v>370</v>
      </c>
      <c r="J7" s="36"/>
      <c r="N7" s="47" t="s">
        <v>81</v>
      </c>
      <c r="O7" s="1" t="s">
        <v>48</v>
      </c>
      <c r="P7" s="1">
        <v>18605319139</v>
      </c>
      <c r="Q7" s="23" t="s">
        <v>49</v>
      </c>
      <c r="R7" s="21"/>
      <c r="S7" s="53" t="s">
        <v>137</v>
      </c>
      <c r="T7" s="37" t="s">
        <v>396</v>
      </c>
      <c r="U7" s="50" t="s">
        <v>399</v>
      </c>
      <c r="V7" s="19" t="s">
        <v>398</v>
      </c>
      <c r="W7" s="19">
        <v>18980746446</v>
      </c>
      <c r="X7" s="23" t="s">
        <v>397</v>
      </c>
      <c r="Y7" s="19"/>
      <c r="Z7" s="68" t="s">
        <v>451</v>
      </c>
      <c r="AA7" s="37" t="s">
        <v>452</v>
      </c>
      <c r="AB7" s="19" t="s">
        <v>80</v>
      </c>
      <c r="AC7" s="19">
        <v>18782947519</v>
      </c>
      <c r="AD7" s="23" t="s">
        <v>177</v>
      </c>
      <c r="AE7" s="19"/>
      <c r="AF7" s="37" t="s">
        <v>192</v>
      </c>
      <c r="AG7" s="23" t="s">
        <v>400</v>
      </c>
      <c r="AH7" s="23" t="str">
        <f t="shared" si="5"/>
        <v>;pengmin@inspur.com;caomi@inspur.com;dumenglan@inspur.com</v>
      </c>
      <c r="AI7" s="35" t="s">
        <v>183</v>
      </c>
      <c r="AJ7" s="35" t="s">
        <v>183</v>
      </c>
      <c r="AK7" s="54" t="s">
        <v>137</v>
      </c>
      <c r="AL7" s="37"/>
      <c r="AM7" s="23"/>
      <c r="AN7" s="19"/>
      <c r="AO7" s="20"/>
      <c r="AP7" s="37"/>
      <c r="AQ7" s="19"/>
      <c r="AR7" s="19"/>
      <c r="AS7" s="19"/>
    </row>
    <row r="8" spans="1:45" ht="15.75" customHeight="1" x14ac:dyDescent="0.35">
      <c r="A8" s="18" t="str">
        <f t="shared" si="0"/>
        <v>weichy@inspur.com</v>
      </c>
      <c r="B8" s="18" t="str">
        <f t="shared" si="1"/>
        <v>zhangyongli@inspur.com;;suyj@inspur.com;;kangzp@inspur.com;tangjing@inspur.com;shenfh@inspur.com</v>
      </c>
      <c r="C8" s="19" t="str">
        <f t="shared" si="2"/>
        <v>云服务集团5月业务数据</v>
      </c>
      <c r="D8" s="20" t="str">
        <f t="shared" si="3"/>
        <v>魏总，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8" s="56" t="str">
        <f t="shared" si="4"/>
        <v>F:\工作\3浪潮云服务\市场部\本次发送\工作表合并\河南区.xlsx</v>
      </c>
      <c r="F8" s="70" t="s">
        <v>370</v>
      </c>
      <c r="G8" s="30"/>
      <c r="H8" s="61">
        <f t="shared" si="6"/>
        <v>1</v>
      </c>
      <c r="I8" s="61" t="s">
        <v>381</v>
      </c>
      <c r="J8" s="36"/>
      <c r="N8" s="46" t="s">
        <v>72</v>
      </c>
      <c r="O8" s="1" t="s">
        <v>58</v>
      </c>
      <c r="P8" s="1">
        <v>18866808217</v>
      </c>
      <c r="Q8" s="23" t="s">
        <v>59</v>
      </c>
      <c r="R8" s="21"/>
      <c r="S8" s="53" t="s">
        <v>453</v>
      </c>
      <c r="T8" s="37" t="s">
        <v>152</v>
      </c>
      <c r="U8" s="50" t="s">
        <v>277</v>
      </c>
      <c r="V8" s="19"/>
      <c r="W8" s="19">
        <v>13605319537</v>
      </c>
      <c r="X8" s="23" t="s">
        <v>168</v>
      </c>
      <c r="Y8" s="19"/>
      <c r="Z8" s="68" t="s">
        <v>453</v>
      </c>
      <c r="AA8" s="37" t="s">
        <v>454</v>
      </c>
      <c r="AB8" s="19" t="s">
        <v>73</v>
      </c>
      <c r="AC8" s="19">
        <v>13343823810</v>
      </c>
      <c r="AD8" s="23" t="s">
        <v>178</v>
      </c>
      <c r="AE8" s="19"/>
      <c r="AF8" s="37"/>
      <c r="AG8" s="23" t="s">
        <v>183</v>
      </c>
      <c r="AH8" s="23" t="str">
        <f t="shared" si="5"/>
        <v>;suyj@inspur.com;</v>
      </c>
      <c r="AI8" s="35" t="s">
        <v>183</v>
      </c>
      <c r="AJ8" s="35" t="s">
        <v>183</v>
      </c>
      <c r="AK8" s="54" t="s">
        <v>136</v>
      </c>
      <c r="AL8" s="37"/>
      <c r="AM8" s="23"/>
      <c r="AN8" s="19"/>
      <c r="AO8" s="20"/>
      <c r="AP8" s="37"/>
      <c r="AQ8" s="19"/>
      <c r="AR8" s="19"/>
      <c r="AS8" s="19"/>
    </row>
    <row r="9" spans="1:45" ht="15.75" hidden="1" customHeight="1" x14ac:dyDescent="0.35">
      <c r="A9" s="18" t="str">
        <f t="shared" si="0"/>
        <v>yangyang1@inspur.com</v>
      </c>
      <c r="B9" s="18" t="str">
        <f t="shared" si="1"/>
        <v>chenglm@inspur.com;;hongyuan@inspur.com;;kangzp@inspur.com;tangjing@inspur.com;shenfh@inspur.com</v>
      </c>
      <c r="C9" s="19" t="str">
        <f t="shared" si="2"/>
        <v>云服务集团5月业务数据</v>
      </c>
      <c r="D9" s="20" t="str">
        <f t="shared" si="3"/>
        <v>杨总，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9" s="56" t="str">
        <f t="shared" si="4"/>
        <v>F:\工作\3浪潮云服务\市场部\本次发送\工作表合并\安徽区.xlsx</v>
      </c>
      <c r="F9" s="70" t="s">
        <v>371</v>
      </c>
      <c r="G9" s="30"/>
      <c r="H9" s="61" t="str">
        <f t="shared" si="6"/>
        <v/>
      </c>
      <c r="I9" s="61" t="s">
        <v>382</v>
      </c>
      <c r="J9" s="36"/>
      <c r="N9" s="46" t="s">
        <v>75</v>
      </c>
      <c r="O9" s="1" t="s">
        <v>10</v>
      </c>
      <c r="P9" s="1">
        <v>13349090001</v>
      </c>
      <c r="Q9" s="23" t="s">
        <v>11</v>
      </c>
      <c r="R9" s="21"/>
      <c r="S9" s="53" t="s">
        <v>455</v>
      </c>
      <c r="T9" s="37" t="s">
        <v>423</v>
      </c>
      <c r="U9" s="50" t="s">
        <v>316</v>
      </c>
      <c r="V9" s="19"/>
      <c r="W9" s="19">
        <v>18956068989</v>
      </c>
      <c r="X9" s="23" t="s">
        <v>425</v>
      </c>
      <c r="Y9" s="19"/>
      <c r="Z9" s="68" t="s">
        <v>455</v>
      </c>
      <c r="AA9" s="37" t="s">
        <v>457</v>
      </c>
      <c r="AB9" s="19" t="s">
        <v>66</v>
      </c>
      <c r="AC9" s="19">
        <v>15656054271</v>
      </c>
      <c r="AD9" s="23" t="s">
        <v>76</v>
      </c>
      <c r="AE9" s="19"/>
      <c r="AF9" s="37"/>
      <c r="AG9" s="23" t="s">
        <v>183</v>
      </c>
      <c r="AH9" s="23" t="str">
        <f t="shared" si="5"/>
        <v>;hongyuan@inspur.com;</v>
      </c>
      <c r="AI9" s="35" t="s">
        <v>183</v>
      </c>
      <c r="AJ9" s="35" t="s">
        <v>183</v>
      </c>
      <c r="AK9" s="54" t="s">
        <v>135</v>
      </c>
      <c r="AL9" s="37"/>
      <c r="AM9" s="23"/>
      <c r="AN9" s="19"/>
      <c r="AO9" s="20"/>
      <c r="AP9" s="37"/>
      <c r="AQ9" s="19"/>
      <c r="AR9" s="19"/>
      <c r="AS9" s="19"/>
    </row>
    <row r="10" spans="1:45" ht="15.75" hidden="1" customHeight="1" x14ac:dyDescent="0.35">
      <c r="A10" s="18" t="str">
        <f t="shared" si="0"/>
        <v>tuhua@inspur.com</v>
      </c>
      <c r="B10" s="18" t="str">
        <f t="shared" si="1"/>
        <v>hujun@inspur.com;;liuff@inspur.com;liaoc@inspur.com;kangzp@inspur.com;tangjing@inspur.com;shenfh@inspur.com</v>
      </c>
      <c r="C10" s="19" t="str">
        <f t="shared" si="2"/>
        <v>云服务集团5月业务数据</v>
      </c>
      <c r="D10" s="20" t="str">
        <f t="shared" si="3"/>
        <v>涂总，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10" s="56" t="str">
        <f t="shared" si="4"/>
        <v>F:\工作\3浪潮云服务\市场部\本次发送\工作表合并\湖北区.xlsx</v>
      </c>
      <c r="F10" s="70" t="s">
        <v>372</v>
      </c>
      <c r="G10" s="30"/>
      <c r="H10" s="61" t="str">
        <f t="shared" si="6"/>
        <v/>
      </c>
      <c r="I10" s="61" t="s">
        <v>383</v>
      </c>
      <c r="J10" s="36"/>
      <c r="N10" s="46" t="s">
        <v>74</v>
      </c>
      <c r="O10" s="1" t="s">
        <v>26</v>
      </c>
      <c r="P10" s="1">
        <v>13387554488</v>
      </c>
      <c r="Q10" s="23" t="s">
        <v>27</v>
      </c>
      <c r="R10" s="21"/>
      <c r="S10" s="53" t="s">
        <v>134</v>
      </c>
      <c r="T10" s="37" t="s">
        <v>153</v>
      </c>
      <c r="U10" s="50" t="s">
        <v>278</v>
      </c>
      <c r="V10" s="19"/>
      <c r="W10" s="19">
        <v>18627079899</v>
      </c>
      <c r="X10" s="23" t="s">
        <v>306</v>
      </c>
      <c r="Y10" s="19"/>
      <c r="Z10" s="68" t="s">
        <v>458</v>
      </c>
      <c r="AA10" s="37" t="s">
        <v>459</v>
      </c>
      <c r="AB10" s="19" t="s">
        <v>73</v>
      </c>
      <c r="AC10" s="19">
        <v>18607145067</v>
      </c>
      <c r="AD10" s="23" t="s">
        <v>179</v>
      </c>
      <c r="AE10" s="19"/>
      <c r="AF10" s="37" t="s">
        <v>193</v>
      </c>
      <c r="AG10" s="23" t="s">
        <v>219</v>
      </c>
      <c r="AH10" s="23" t="str">
        <f t="shared" si="5"/>
        <v>;liuff@inspur.com;liaoc@inspur.com</v>
      </c>
      <c r="AI10" s="35" t="s">
        <v>183</v>
      </c>
      <c r="AJ10" s="35" t="s">
        <v>183</v>
      </c>
      <c r="AK10" s="54" t="s">
        <v>134</v>
      </c>
      <c r="AL10" s="37"/>
      <c r="AM10" s="23"/>
      <c r="AN10" s="19"/>
      <c r="AO10" s="20"/>
      <c r="AP10" s="37"/>
      <c r="AQ10" s="19"/>
      <c r="AR10" s="19"/>
      <c r="AS10" s="19"/>
    </row>
    <row r="11" spans="1:45" ht="15.75" hidden="1" customHeight="1" x14ac:dyDescent="0.35">
      <c r="A11" s="18" t="str">
        <f t="shared" si="0"/>
        <v>yanglei-sh@inspur.com</v>
      </c>
      <c r="B11" s="18" t="str">
        <f t="shared" si="1"/>
        <v>sunyzh@inspur.com;;zhangyingchao@inspur.com;;kangzp@inspur.com;tangjing@inspur.com;shenfh@inspur.com</v>
      </c>
      <c r="C11" s="19" t="str">
        <f t="shared" si="2"/>
        <v>云服务集团5月业务数据</v>
      </c>
      <c r="D11" s="20" t="str">
        <f t="shared" si="3"/>
        <v>杨总，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11" s="56" t="str">
        <f t="shared" si="4"/>
        <v>F:\工作\3浪潮云服务\市场部\本次发送\工作表合并\上海区.xlsx</v>
      </c>
      <c r="F11" s="70" t="s">
        <v>373</v>
      </c>
      <c r="G11" s="30"/>
      <c r="H11" s="61" t="str">
        <f t="shared" si="6"/>
        <v/>
      </c>
      <c r="I11" s="61" t="s">
        <v>385</v>
      </c>
      <c r="J11" s="36"/>
      <c r="N11" s="46" t="s">
        <v>87</v>
      </c>
      <c r="O11" s="1" t="s">
        <v>46</v>
      </c>
      <c r="P11" s="1">
        <v>18660106708</v>
      </c>
      <c r="Q11" s="23" t="s">
        <v>47</v>
      </c>
      <c r="R11" s="21"/>
      <c r="S11" s="53" t="s">
        <v>460</v>
      </c>
      <c r="T11" s="37" t="s">
        <v>405</v>
      </c>
      <c r="U11" s="50" t="s">
        <v>316</v>
      </c>
      <c r="V11" s="19"/>
      <c r="W11" s="19">
        <v>13801950374</v>
      </c>
      <c r="X11" s="23" t="s">
        <v>404</v>
      </c>
      <c r="Y11" s="19"/>
      <c r="Z11" s="68" t="s">
        <v>460</v>
      </c>
      <c r="AA11" s="37" t="s">
        <v>461</v>
      </c>
      <c r="AB11" s="19" t="s">
        <v>66</v>
      </c>
      <c r="AC11" s="19">
        <v>13120582588</v>
      </c>
      <c r="AD11" s="23" t="s">
        <v>88</v>
      </c>
      <c r="AE11" s="19"/>
      <c r="AF11" s="37"/>
      <c r="AG11" s="23" t="s">
        <v>183</v>
      </c>
      <c r="AH11" s="23" t="str">
        <f t="shared" si="5"/>
        <v>;zhangyingchao@inspur.com;</v>
      </c>
      <c r="AI11" s="35" t="s">
        <v>183</v>
      </c>
      <c r="AJ11" s="35" t="s">
        <v>183</v>
      </c>
      <c r="AK11" s="54" t="s">
        <v>133</v>
      </c>
      <c r="AL11" s="37"/>
      <c r="AM11" s="23"/>
      <c r="AN11" s="19"/>
      <c r="AO11" s="20"/>
      <c r="AP11" s="37"/>
      <c r="AQ11" s="19"/>
      <c r="AR11" s="19"/>
      <c r="AS11" s="19"/>
    </row>
    <row r="12" spans="1:45" ht="15.75" hidden="1" customHeight="1" x14ac:dyDescent="0.35">
      <c r="A12" s="18" t="str">
        <f t="shared" si="0"/>
        <v>suiky@inspur.com</v>
      </c>
      <c r="B12" s="18" t="str">
        <f t="shared" si="1"/>
        <v>jilei@inspur.com;;guohui@inspur.com;wangmx@inspur.com;kangzp@inspur.com;tangjing@inspur.com;shenfh@inspur.com</v>
      </c>
      <c r="C12" s="19" t="str">
        <f t="shared" si="2"/>
        <v>云服务集团5月业务数据</v>
      </c>
      <c r="D12" s="20" t="str">
        <f t="shared" si="3"/>
        <v>隋总，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12" s="56" t="str">
        <f t="shared" si="4"/>
        <v>F:\工作\3浪潮云服务\市场部\本次发送\工作表合并\山西区.xlsx</v>
      </c>
      <c r="F12" s="70" t="s">
        <v>374</v>
      </c>
      <c r="G12" s="30"/>
      <c r="H12" s="61" t="str">
        <f t="shared" si="6"/>
        <v/>
      </c>
      <c r="I12" s="61" t="s">
        <v>386</v>
      </c>
      <c r="J12" s="36"/>
      <c r="N12" s="46" t="s">
        <v>79</v>
      </c>
      <c r="O12" s="1" t="s">
        <v>42</v>
      </c>
      <c r="P12" s="1">
        <v>13853199927</v>
      </c>
      <c r="Q12" s="23" t="s">
        <v>43</v>
      </c>
      <c r="R12" s="21"/>
      <c r="S12" s="53" t="s">
        <v>132</v>
      </c>
      <c r="T12" s="37" t="s">
        <v>144</v>
      </c>
      <c r="U12" s="50" t="s">
        <v>279</v>
      </c>
      <c r="V12" s="19" t="s">
        <v>165</v>
      </c>
      <c r="W12" s="19">
        <v>18660177898</v>
      </c>
      <c r="X12" s="23" t="s">
        <v>145</v>
      </c>
      <c r="Y12" s="19"/>
      <c r="Z12" s="68" t="s">
        <v>462</v>
      </c>
      <c r="AA12" s="37" t="s">
        <v>463</v>
      </c>
      <c r="AB12" s="19" t="s">
        <v>80</v>
      </c>
      <c r="AC12" s="19">
        <v>13403450091</v>
      </c>
      <c r="AD12" s="23" t="s">
        <v>180</v>
      </c>
      <c r="AE12" s="19"/>
      <c r="AF12" s="37" t="s">
        <v>519</v>
      </c>
      <c r="AG12" s="23" t="s">
        <v>220</v>
      </c>
      <c r="AH12" s="23" t="str">
        <f t="shared" si="5"/>
        <v>;guohui@inspur.com;wangmx@inspur.com</v>
      </c>
      <c r="AI12" s="35" t="s">
        <v>183</v>
      </c>
      <c r="AJ12" s="35" t="s">
        <v>183</v>
      </c>
      <c r="AK12" s="54" t="s">
        <v>132</v>
      </c>
      <c r="AL12" s="37"/>
      <c r="AM12" s="23"/>
      <c r="AN12" s="19"/>
      <c r="AO12" s="20"/>
      <c r="AP12" s="37"/>
      <c r="AQ12" s="19"/>
      <c r="AR12" s="19"/>
      <c r="AS12" s="19"/>
    </row>
    <row r="13" spans="1:45" ht="15.75" hidden="1" customHeight="1" x14ac:dyDescent="0.35">
      <c r="A13" s="18" t="str">
        <f t="shared" si="0"/>
        <v>liuxinhb@inspur.com</v>
      </c>
      <c r="B13" s="18" t="str">
        <f t="shared" si="1"/>
        <v>lihengwei@inspur.com;ma-chao@inspur.com;YANG_LI@INSPUR.COM;;kangzp@inspur.com;tangjing@inspur.com;shenfh@inspur.com</v>
      </c>
      <c r="C13" s="19" t="str">
        <f t="shared" si="2"/>
        <v>云服务集团5月业务数据</v>
      </c>
      <c r="D13" s="20" t="str">
        <f t="shared" si="3"/>
        <v>刘总，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13" s="56" t="str">
        <f t="shared" si="4"/>
        <v>F:\工作\3浪潮云服务\市场部\本次发送\工作表合并\河北区.xlsx</v>
      </c>
      <c r="F13" s="70" t="s">
        <v>375</v>
      </c>
      <c r="G13" s="30"/>
      <c r="H13" s="61" t="str">
        <f t="shared" si="6"/>
        <v/>
      </c>
      <c r="I13" s="61" t="s">
        <v>387</v>
      </c>
      <c r="J13" s="36"/>
      <c r="N13" s="46" t="s">
        <v>83</v>
      </c>
      <c r="O13" s="1" t="s">
        <v>22</v>
      </c>
      <c r="P13" s="1">
        <v>18905311600</v>
      </c>
      <c r="Q13" s="23" t="s">
        <v>23</v>
      </c>
      <c r="R13" s="21"/>
      <c r="S13" s="53" t="s">
        <v>131</v>
      </c>
      <c r="T13" s="37" t="s">
        <v>324</v>
      </c>
      <c r="U13" s="50" t="s">
        <v>320</v>
      </c>
      <c r="V13" s="19" t="s">
        <v>165</v>
      </c>
      <c r="W13" s="19">
        <v>15081813555</v>
      </c>
      <c r="X13" s="23" t="s">
        <v>323</v>
      </c>
      <c r="Y13" s="19" t="s">
        <v>256</v>
      </c>
      <c r="Z13" s="68" t="s">
        <v>464</v>
      </c>
      <c r="AA13" s="37" t="s">
        <v>465</v>
      </c>
      <c r="AB13" s="19" t="s">
        <v>66</v>
      </c>
      <c r="AC13" s="19">
        <v>13931890995</v>
      </c>
      <c r="AD13" s="23" t="s">
        <v>181</v>
      </c>
      <c r="AE13" s="19"/>
      <c r="AF13" s="37"/>
      <c r="AG13" s="23" t="s">
        <v>183</v>
      </c>
      <c r="AH13" s="23" t="str">
        <f t="shared" si="5"/>
        <v>ma-chao@inspur.com;YANG_LI@INSPUR.COM;</v>
      </c>
      <c r="AI13" s="35" t="s">
        <v>183</v>
      </c>
      <c r="AJ13" s="35" t="s">
        <v>183</v>
      </c>
      <c r="AK13" s="54" t="s">
        <v>131</v>
      </c>
      <c r="AL13" s="37" t="s">
        <v>321</v>
      </c>
      <c r="AM13" s="23" t="s">
        <v>169</v>
      </c>
      <c r="AN13" s="19" t="s">
        <v>322</v>
      </c>
      <c r="AO13" s="20">
        <v>15165106999</v>
      </c>
      <c r="AP13" s="37"/>
      <c r="AQ13" s="19"/>
      <c r="AR13" s="19"/>
      <c r="AS13" s="19"/>
    </row>
    <row r="14" spans="1:45" ht="15.75" hidden="1" customHeight="1" x14ac:dyDescent="0.35">
      <c r="A14" s="18" t="str">
        <f t="shared" si="0"/>
        <v>maoxy@inspur.com</v>
      </c>
      <c r="B14" s="18" t="str">
        <f t="shared" si="1"/>
        <v>caojiangyang@inspur.com;;guojiao@inspur.com;;kangzp@inspur.com;tangjing@inspur.com;shenfh@inspur.com</v>
      </c>
      <c r="C14" s="19" t="str">
        <f t="shared" si="2"/>
        <v>云服务集团5月业务数据</v>
      </c>
      <c r="D14" s="20" t="str">
        <f t="shared" si="3"/>
        <v>毛总，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14" s="56" t="str">
        <f t="shared" si="4"/>
        <v>F:\工作\3浪潮云服务\市场部\本次发送\工作表合并\陕西区.xlsx</v>
      </c>
      <c r="F14" s="70" t="s">
        <v>376</v>
      </c>
      <c r="G14" s="30"/>
      <c r="H14" s="61" t="str">
        <f t="shared" si="6"/>
        <v/>
      </c>
      <c r="I14" s="61" t="s">
        <v>389</v>
      </c>
      <c r="J14" s="36"/>
      <c r="N14" s="46" t="s">
        <v>85</v>
      </c>
      <c r="O14" s="1" t="s">
        <v>44</v>
      </c>
      <c r="P14" s="1">
        <v>18601239369</v>
      </c>
      <c r="Q14" s="23" t="s">
        <v>45</v>
      </c>
      <c r="R14" s="21"/>
      <c r="S14" s="53" t="s">
        <v>466</v>
      </c>
      <c r="T14" s="37" t="s">
        <v>146</v>
      </c>
      <c r="U14" s="50" t="s">
        <v>280</v>
      </c>
      <c r="V14" s="19" t="s">
        <v>143</v>
      </c>
      <c r="W14" s="19">
        <v>18629028288</v>
      </c>
      <c r="X14" s="23" t="s">
        <v>170</v>
      </c>
      <c r="Y14" s="19"/>
      <c r="Z14" s="68" t="s">
        <v>466</v>
      </c>
      <c r="AA14" s="37" t="s">
        <v>467</v>
      </c>
      <c r="AB14" s="19" t="s">
        <v>66</v>
      </c>
      <c r="AC14" s="19">
        <v>13709128742</v>
      </c>
      <c r="AD14" s="23" t="s">
        <v>86</v>
      </c>
      <c r="AE14" s="19"/>
      <c r="AF14" s="37"/>
      <c r="AG14" s="23" t="s">
        <v>183</v>
      </c>
      <c r="AH14" s="23" t="str">
        <f t="shared" si="5"/>
        <v>;guojiao@inspur.com;</v>
      </c>
      <c r="AI14" s="35" t="s">
        <v>183</v>
      </c>
      <c r="AJ14" s="35" t="s">
        <v>183</v>
      </c>
      <c r="AK14" s="54" t="s">
        <v>130</v>
      </c>
      <c r="AL14" s="37"/>
      <c r="AM14" s="23"/>
      <c r="AN14" s="19"/>
      <c r="AO14" s="20"/>
      <c r="AP14" s="37"/>
      <c r="AQ14" s="19"/>
      <c r="AR14" s="19"/>
      <c r="AS14" s="19"/>
    </row>
    <row r="15" spans="1:45" ht="15.75" hidden="1" customHeight="1" x14ac:dyDescent="0.35">
      <c r="A15" s="18" t="str">
        <f t="shared" si="0"/>
        <v>liyu@inspur.com</v>
      </c>
      <c r="B15" s="18" t="str">
        <f t="shared" si="1"/>
        <v>zhangdch@inspur.com;baoqh@inspur.com;gaozhenqi@inspur.com;;kangzp@inspur.com;tangjing@inspur.com;shenfh@inspur.com</v>
      </c>
      <c r="C15" s="19" t="str">
        <f t="shared" si="2"/>
        <v>云服务集团5月业务数据</v>
      </c>
      <c r="D15" s="20" t="str">
        <f t="shared" si="3"/>
        <v>李总，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15" s="56" t="str">
        <f t="shared" si="4"/>
        <v>F:\工作\3浪潮云服务\市场部\本次发送\工作表合并\黑龙江区.xlsx</v>
      </c>
      <c r="F15" s="70" t="s">
        <v>377</v>
      </c>
      <c r="G15" s="30"/>
      <c r="H15" s="61" t="str">
        <f t="shared" si="6"/>
        <v/>
      </c>
      <c r="I15" s="61" t="s">
        <v>391</v>
      </c>
      <c r="J15" s="36"/>
      <c r="N15" s="46" t="s">
        <v>84</v>
      </c>
      <c r="O15" s="1" t="s">
        <v>24</v>
      </c>
      <c r="P15" s="1">
        <v>13384517868</v>
      </c>
      <c r="Q15" s="23" t="s">
        <v>25</v>
      </c>
      <c r="R15" s="21"/>
      <c r="S15" s="53" t="s">
        <v>129</v>
      </c>
      <c r="T15" s="37" t="s">
        <v>346</v>
      </c>
      <c r="U15" s="50" t="s">
        <v>303</v>
      </c>
      <c r="V15" s="19" t="s">
        <v>302</v>
      </c>
      <c r="W15" s="19">
        <v>13940374567</v>
      </c>
      <c r="X15" s="23" t="s">
        <v>307</v>
      </c>
      <c r="Y15" s="19"/>
      <c r="Z15" s="68" t="s">
        <v>468</v>
      </c>
      <c r="AA15" s="37" t="s">
        <v>469</v>
      </c>
      <c r="AB15" s="19" t="s">
        <v>66</v>
      </c>
      <c r="AC15" s="19"/>
      <c r="AD15" s="23" t="s">
        <v>342</v>
      </c>
      <c r="AE15" s="19"/>
      <c r="AF15" s="37"/>
      <c r="AG15" s="23" t="s">
        <v>183</v>
      </c>
      <c r="AH15" s="23" t="str">
        <f t="shared" si="5"/>
        <v>baoqh@inspur.com;gaozhenqi@inspur.com;</v>
      </c>
      <c r="AI15" s="35" t="s">
        <v>183</v>
      </c>
      <c r="AJ15" s="35" t="s">
        <v>183</v>
      </c>
      <c r="AK15" s="54" t="s">
        <v>129</v>
      </c>
      <c r="AL15" s="37" t="s">
        <v>349</v>
      </c>
      <c r="AM15" s="23" t="s">
        <v>348</v>
      </c>
      <c r="AN15" s="19" t="s">
        <v>350</v>
      </c>
      <c r="AO15" s="20"/>
      <c r="AP15" s="37"/>
      <c r="AQ15" s="19"/>
      <c r="AR15" s="19"/>
      <c r="AS15" s="19"/>
    </row>
    <row r="16" spans="1:45" ht="15.75" hidden="1" customHeight="1" x14ac:dyDescent="0.35">
      <c r="A16" s="18" t="str">
        <f t="shared" si="0"/>
        <v>longqi@inspur.com</v>
      </c>
      <c r="B16" s="18" t="str">
        <f t="shared" si="1"/>
        <v>hanchx@inspur.com;;huyj@inspur.com;;kangzp@inspur.com;tangjing@inspur.com;shenfh@inspur.com</v>
      </c>
      <c r="C16" s="19" t="str">
        <f t="shared" si="2"/>
        <v>云服务集团5月业务数据</v>
      </c>
      <c r="D16" s="20" t="str">
        <f t="shared" si="3"/>
        <v>龙总，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16" s="56" t="str">
        <f t="shared" si="4"/>
        <v>F:\工作\3浪潮云服务\市场部\本次发送\工作表合并\湖南区.xlsx</v>
      </c>
      <c r="F16" s="70" t="s">
        <v>378</v>
      </c>
      <c r="G16" s="30"/>
      <c r="H16" s="61" t="str">
        <f t="shared" si="6"/>
        <v/>
      </c>
      <c r="I16" s="61" t="s">
        <v>392</v>
      </c>
      <c r="J16" s="36"/>
      <c r="N16" s="46" t="s">
        <v>96</v>
      </c>
      <c r="O16" s="1" t="s">
        <v>28</v>
      </c>
      <c r="P16" s="1">
        <v>13974880009</v>
      </c>
      <c r="Q16" s="23" t="s">
        <v>29</v>
      </c>
      <c r="R16" s="21"/>
      <c r="S16" s="53" t="s">
        <v>128</v>
      </c>
      <c r="T16" s="37" t="s">
        <v>347</v>
      </c>
      <c r="U16" s="50" t="s">
        <v>343</v>
      </c>
      <c r="V16" s="19" t="s">
        <v>165</v>
      </c>
      <c r="W16" s="19">
        <v>13574889880</v>
      </c>
      <c r="X16" s="23" t="s">
        <v>344</v>
      </c>
      <c r="Y16" s="19"/>
      <c r="Z16" s="68" t="s">
        <v>470</v>
      </c>
      <c r="AA16" s="37" t="s">
        <v>471</v>
      </c>
      <c r="AB16" s="19" t="s">
        <v>68</v>
      </c>
      <c r="AC16" s="19">
        <v>13319531009</v>
      </c>
      <c r="AD16" s="23" t="s">
        <v>97</v>
      </c>
      <c r="AE16" s="19"/>
      <c r="AF16" s="37"/>
      <c r="AG16" s="23" t="s">
        <v>183</v>
      </c>
      <c r="AH16" s="23" t="str">
        <f t="shared" si="5"/>
        <v>;huyj@inspur.com;</v>
      </c>
      <c r="AI16" s="35" t="s">
        <v>183</v>
      </c>
      <c r="AJ16" s="35" t="s">
        <v>183</v>
      </c>
      <c r="AK16" s="54" t="s">
        <v>128</v>
      </c>
      <c r="AL16" s="37"/>
      <c r="AM16" s="23"/>
      <c r="AN16" s="19"/>
      <c r="AO16" s="20"/>
      <c r="AP16" s="37"/>
      <c r="AQ16" s="19"/>
      <c r="AR16" s="19"/>
      <c r="AS16" s="19"/>
    </row>
    <row r="17" spans="1:45" ht="15.75" hidden="1" customHeight="1" x14ac:dyDescent="0.35">
      <c r="A17" s="18" t="str">
        <f t="shared" si="0"/>
        <v>chengt@inspur.com</v>
      </c>
      <c r="B17" s="18" t="str">
        <f t="shared" si="1"/>
        <v>xuguobin@inspur.com;;zhuyl@inspur.com;wangyanling@inspur.com;kangzp@inspur.com;tangjing@inspur.com;shenfh@inspur.com</v>
      </c>
      <c r="C17" s="19" t="str">
        <f t="shared" si="2"/>
        <v>云服务集团5月业务数据</v>
      </c>
      <c r="D17" s="20" t="str">
        <f t="shared" si="3"/>
        <v>陈总，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17" s="56" t="str">
        <f t="shared" si="4"/>
        <v>F:\工作\3浪潮云服务\市场部\本次发送\工作表合并\甘肃区.xlsx</v>
      </c>
      <c r="F17" s="70" t="s">
        <v>379</v>
      </c>
      <c r="G17" s="30"/>
      <c r="H17" s="61" t="str">
        <f t="shared" si="6"/>
        <v/>
      </c>
      <c r="I17" s="61" t="s">
        <v>393</v>
      </c>
      <c r="J17" s="36"/>
      <c r="N17" s="46" t="s">
        <v>77</v>
      </c>
      <c r="O17" s="1" t="s">
        <v>351</v>
      </c>
      <c r="P17" s="1"/>
      <c r="Q17" s="23" t="s">
        <v>352</v>
      </c>
      <c r="R17" s="21"/>
      <c r="S17" s="53" t="s">
        <v>127</v>
      </c>
      <c r="T17" s="37" t="s">
        <v>297</v>
      </c>
      <c r="U17" s="50" t="s">
        <v>298</v>
      </c>
      <c r="V17" s="19"/>
      <c r="W17" s="19">
        <v>13893365226</v>
      </c>
      <c r="X17" s="23" t="s">
        <v>296</v>
      </c>
      <c r="Y17" s="19"/>
      <c r="Z17" s="68" t="s">
        <v>472</v>
      </c>
      <c r="AA17" s="37" t="s">
        <v>473</v>
      </c>
      <c r="AB17" s="19" t="s">
        <v>73</v>
      </c>
      <c r="AC17" s="19">
        <v>13893678177</v>
      </c>
      <c r="AD17" s="23" t="s">
        <v>78</v>
      </c>
      <c r="AE17" s="19"/>
      <c r="AF17" s="37" t="s">
        <v>520</v>
      </c>
      <c r="AG17" s="23" t="s">
        <v>221</v>
      </c>
      <c r="AH17" s="23" t="str">
        <f t="shared" si="5"/>
        <v>;zhuyl@inspur.com;wangyanling@inspur.com</v>
      </c>
      <c r="AI17" s="35" t="s">
        <v>183</v>
      </c>
      <c r="AJ17" s="35" t="s">
        <v>183</v>
      </c>
      <c r="AK17" s="54" t="s">
        <v>127</v>
      </c>
      <c r="AL17" s="37"/>
      <c r="AM17" s="23"/>
      <c r="AN17" s="19"/>
      <c r="AO17" s="20"/>
      <c r="AP17" s="37"/>
      <c r="AQ17" s="19"/>
      <c r="AR17" s="19"/>
      <c r="AS17" s="19"/>
    </row>
    <row r="18" spans="1:45" ht="15.75" hidden="1" customHeight="1" x14ac:dyDescent="0.35">
      <c r="A18" s="18" t="str">
        <f t="shared" si="0"/>
        <v>raosm@inspur.com</v>
      </c>
      <c r="B18" s="18" t="str">
        <f t="shared" si="1"/>
        <v>xujd@inspur.com;;suting@inspur.com;;kangzp@inspur.com;tangjing@inspur.com;shenfh@inspur.com</v>
      </c>
      <c r="C18" s="19" t="str">
        <f t="shared" si="2"/>
        <v>云服务集团5月业务数据</v>
      </c>
      <c r="D18" s="20" t="str">
        <f t="shared" si="3"/>
        <v>饶总，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18" s="56" t="str">
        <f t="shared" si="4"/>
        <v>F:\工作\3浪潮云服务\市场部\本次发送\工作表合并\江西区.xlsx</v>
      </c>
      <c r="F18" s="70" t="s">
        <v>380</v>
      </c>
      <c r="G18" s="30"/>
      <c r="H18" s="61" t="str">
        <f t="shared" si="6"/>
        <v/>
      </c>
      <c r="I18" s="61" t="s">
        <v>394</v>
      </c>
      <c r="J18" s="36"/>
      <c r="N18" s="46" t="s">
        <v>82</v>
      </c>
      <c r="O18" s="1" t="s">
        <v>60</v>
      </c>
      <c r="P18" s="1">
        <v>13911059500</v>
      </c>
      <c r="Q18" s="23" t="s">
        <v>61</v>
      </c>
      <c r="R18" s="21"/>
      <c r="S18" s="53" t="s">
        <v>474</v>
      </c>
      <c r="T18" s="37" t="s">
        <v>358</v>
      </c>
      <c r="U18" s="50" t="s">
        <v>359</v>
      </c>
      <c r="V18" s="19"/>
      <c r="W18" s="19">
        <v>13307913066</v>
      </c>
      <c r="X18" s="23" t="s">
        <v>360</v>
      </c>
      <c r="Y18" s="19"/>
      <c r="Z18" s="68" t="s">
        <v>474</v>
      </c>
      <c r="AA18" s="37" t="s">
        <v>475</v>
      </c>
      <c r="AB18" s="19" t="s">
        <v>66</v>
      </c>
      <c r="AC18" s="19">
        <v>18679171137</v>
      </c>
      <c r="AD18" s="23" t="s">
        <v>182</v>
      </c>
      <c r="AE18" s="19"/>
      <c r="AF18" s="37"/>
      <c r="AG18" s="23" t="s">
        <v>183</v>
      </c>
      <c r="AH18" s="23" t="str">
        <f t="shared" si="5"/>
        <v>;suting@inspur.com;</v>
      </c>
      <c r="AI18" s="35" t="s">
        <v>183</v>
      </c>
      <c r="AJ18" s="35" t="s">
        <v>183</v>
      </c>
      <c r="AK18" s="54" t="s">
        <v>126</v>
      </c>
      <c r="AL18" s="37"/>
      <c r="AM18" s="23"/>
      <c r="AN18" s="19"/>
      <c r="AO18" s="20"/>
      <c r="AP18" s="37"/>
      <c r="AQ18" s="19"/>
      <c r="AR18" s="19"/>
      <c r="AS18" s="19"/>
    </row>
    <row r="19" spans="1:45" ht="16.5" customHeight="1" x14ac:dyDescent="0.35">
      <c r="A19" s="18" t="str">
        <f t="shared" si="0"/>
        <v>zhigh@inspur.com</v>
      </c>
      <c r="B19" s="18" t="str">
        <f t="shared" si="1"/>
        <v>sunqch@inspur.com;;panjie@inspur.com;wangmiaom@inspur.com;wangmiaom@inspur.com;kangzp@inspur.com;tangjing@inspur.com;shenfh@inspur.com</v>
      </c>
      <c r="C19" s="19" t="str">
        <f t="shared" si="2"/>
        <v>云服务集团5月业务数据</v>
      </c>
      <c r="D19" s="20" t="str">
        <f t="shared" si="3"/>
        <v>智总，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19" s="56" t="str">
        <f t="shared" si="4"/>
        <v>F:\工作\3浪潮云服务\市场部\本次发送\工作表合并\天津区.xlsx</v>
      </c>
      <c r="F19" s="70" t="s">
        <v>381</v>
      </c>
      <c r="G19" s="30"/>
      <c r="H19" s="61">
        <f t="shared" si="6"/>
        <v>1</v>
      </c>
      <c r="I19" s="61" t="s">
        <v>395</v>
      </c>
      <c r="J19" s="36"/>
      <c r="N19" s="48" t="s">
        <v>115</v>
      </c>
      <c r="O19" s="1" t="s">
        <v>417</v>
      </c>
      <c r="P19" s="1"/>
      <c r="Q19" s="23" t="s">
        <v>418</v>
      </c>
      <c r="R19" s="21"/>
      <c r="S19" s="53" t="s">
        <v>116</v>
      </c>
      <c r="T19" s="37" t="s">
        <v>330</v>
      </c>
      <c r="U19" s="50" t="s">
        <v>332</v>
      </c>
      <c r="V19" s="19" t="s">
        <v>331</v>
      </c>
      <c r="W19" s="19">
        <v>18502281735</v>
      </c>
      <c r="X19" s="23" t="s">
        <v>361</v>
      </c>
      <c r="Y19" s="19"/>
      <c r="Z19" s="68" t="s">
        <v>116</v>
      </c>
      <c r="AA19" s="37" t="s">
        <v>477</v>
      </c>
      <c r="AB19" s="19" t="s">
        <v>160</v>
      </c>
      <c r="AC19" s="19" t="s">
        <v>161</v>
      </c>
      <c r="AD19" s="23" t="s">
        <v>162</v>
      </c>
      <c r="AE19" s="19"/>
      <c r="AF19" s="37" t="s">
        <v>521</v>
      </c>
      <c r="AG19" s="23" t="s">
        <v>222</v>
      </c>
      <c r="AH19" s="23" t="str">
        <f t="shared" si="5"/>
        <v>;panjie@inspur.com;wangmiaom@inspur.com;wangmiaom@inspur.com</v>
      </c>
      <c r="AI19" s="35" t="s">
        <v>183</v>
      </c>
      <c r="AJ19" s="35" t="s">
        <v>183</v>
      </c>
      <c r="AK19" s="54" t="s">
        <v>116</v>
      </c>
      <c r="AL19" s="37"/>
      <c r="AM19" s="23"/>
      <c r="AN19" s="19"/>
      <c r="AO19" s="20"/>
      <c r="AP19" s="37"/>
      <c r="AQ19" s="19"/>
      <c r="AR19" s="19"/>
      <c r="AS19" s="19"/>
    </row>
    <row r="20" spans="1:45" ht="15.75" customHeight="1" x14ac:dyDescent="0.35">
      <c r="A20" s="18" t="str">
        <f t="shared" si="0"/>
        <v>yourui@inspur.com</v>
      </c>
      <c r="B20" s="18" t="str">
        <f t="shared" si="1"/>
        <v>gongmx@inspur.com;chenweinm@inspur.com;dingjiao@inspur.com;;kangzp@inspur.com;tangjing@inspur.com;shenfh@inspur.com</v>
      </c>
      <c r="C20" s="19" t="str">
        <f t="shared" si="2"/>
        <v>云服务集团5月业务数据</v>
      </c>
      <c r="D20" s="20" t="str">
        <f t="shared" si="3"/>
        <v>尤总，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20" s="56" t="str">
        <f t="shared" si="4"/>
        <v>F:\工作\3浪潮云服务\市场部\本次发送\工作表合并\内蒙古区.xlsx</v>
      </c>
      <c r="F20" s="70" t="s">
        <v>382</v>
      </c>
      <c r="G20" s="30"/>
      <c r="H20" s="61">
        <f t="shared" si="6"/>
        <v>1</v>
      </c>
      <c r="I20" s="61"/>
      <c r="J20" s="36"/>
      <c r="N20" s="46" t="s">
        <v>205</v>
      </c>
      <c r="O20" s="1" t="s">
        <v>36</v>
      </c>
      <c r="P20" s="1">
        <v>18600280588</v>
      </c>
      <c r="Q20" s="23" t="s">
        <v>37</v>
      </c>
      <c r="R20" s="21"/>
      <c r="S20" s="53" t="s">
        <v>117</v>
      </c>
      <c r="T20" s="37" t="s">
        <v>429</v>
      </c>
      <c r="U20" s="50" t="s">
        <v>430</v>
      </c>
      <c r="V20" s="19"/>
      <c r="W20" s="19">
        <v>18654528866</v>
      </c>
      <c r="X20" s="23" t="s">
        <v>431</v>
      </c>
      <c r="Y20" s="19"/>
      <c r="Z20" s="68" t="s">
        <v>117</v>
      </c>
      <c r="AA20" s="37" t="s">
        <v>479</v>
      </c>
      <c r="AB20" s="19" t="s">
        <v>66</v>
      </c>
      <c r="AC20" s="19">
        <v>15849339290</v>
      </c>
      <c r="AD20" s="23" t="s">
        <v>91</v>
      </c>
      <c r="AE20" s="19"/>
      <c r="AF20" s="37"/>
      <c r="AG20" s="23" t="s">
        <v>183</v>
      </c>
      <c r="AH20" s="23" t="str">
        <f t="shared" si="5"/>
        <v>chenweinm@inspur.com;dingjiao@inspur.com;</v>
      </c>
      <c r="AI20" s="35" t="s">
        <v>183</v>
      </c>
      <c r="AJ20" s="35" t="s">
        <v>183</v>
      </c>
      <c r="AK20" s="54" t="s">
        <v>117</v>
      </c>
      <c r="AL20" s="37" t="s">
        <v>333</v>
      </c>
      <c r="AM20" s="23" t="s">
        <v>187</v>
      </c>
      <c r="AN20" s="19"/>
      <c r="AO20" s="20">
        <v>13015020567</v>
      </c>
      <c r="AP20" s="37"/>
      <c r="AQ20" s="19"/>
      <c r="AR20" s="19"/>
      <c r="AS20" s="19"/>
    </row>
    <row r="21" spans="1:45" ht="15.75" customHeight="1" x14ac:dyDescent="0.35">
      <c r="A21" s="18" t="str">
        <f t="shared" si="0"/>
        <v>guohong@inspur.com</v>
      </c>
      <c r="B21" s="18" t="str">
        <f t="shared" si="1"/>
        <v>songrx@inspur.com;;dongjh@inspur.com;;kangzp@inspur.com;tangjing@inspur.com;shenfh@inspur.com</v>
      </c>
      <c r="C21" s="19" t="str">
        <f t="shared" si="2"/>
        <v>云服务集团5月业务数据</v>
      </c>
      <c r="D21" s="20" t="str">
        <f t="shared" si="3"/>
        <v>郭总，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21" s="56" t="str">
        <f t="shared" si="4"/>
        <v>F:\工作\3浪潮云服务\市场部\本次发送\工作表合并\辽宁区.xlsx</v>
      </c>
      <c r="F21" s="70" t="s">
        <v>383</v>
      </c>
      <c r="G21" s="30"/>
      <c r="H21" s="61">
        <f t="shared" si="6"/>
        <v>1</v>
      </c>
      <c r="I21" s="61"/>
      <c r="J21" s="36"/>
      <c r="N21" s="48" t="s">
        <v>94</v>
      </c>
      <c r="O21" s="1" t="s">
        <v>34</v>
      </c>
      <c r="P21" s="1">
        <v>13335153718</v>
      </c>
      <c r="Q21" s="23" t="s">
        <v>35</v>
      </c>
      <c r="R21" s="21"/>
      <c r="S21" s="53" t="s">
        <v>125</v>
      </c>
      <c r="T21" s="37" t="s">
        <v>154</v>
      </c>
      <c r="U21" s="50" t="s">
        <v>282</v>
      </c>
      <c r="V21" s="19" t="s">
        <v>165</v>
      </c>
      <c r="W21" s="19">
        <v>13940536289</v>
      </c>
      <c r="X21" s="23" t="s">
        <v>334</v>
      </c>
      <c r="Y21" s="19"/>
      <c r="Z21" s="68" t="s">
        <v>480</v>
      </c>
      <c r="AA21" s="37" t="s">
        <v>481</v>
      </c>
      <c r="AB21" s="19" t="s">
        <v>66</v>
      </c>
      <c r="AC21" s="19">
        <v>18640244788</v>
      </c>
      <c r="AD21" s="23" t="s">
        <v>95</v>
      </c>
      <c r="AE21" s="19"/>
      <c r="AF21" s="37"/>
      <c r="AG21" s="23" t="s">
        <v>183</v>
      </c>
      <c r="AH21" s="23" t="str">
        <f t="shared" si="5"/>
        <v>;dongjh@inspur.com;</v>
      </c>
      <c r="AI21" s="35" t="s">
        <v>183</v>
      </c>
      <c r="AJ21" s="35" t="s">
        <v>183</v>
      </c>
      <c r="AK21" s="54" t="s">
        <v>125</v>
      </c>
      <c r="AL21" s="37"/>
      <c r="AM21" s="23"/>
      <c r="AN21" s="19"/>
      <c r="AO21" s="20"/>
      <c r="AP21" s="37"/>
      <c r="AQ21" s="19"/>
      <c r="AR21" s="19"/>
      <c r="AS21" s="19"/>
    </row>
    <row r="22" spans="1:45" ht="15.75" hidden="1" customHeight="1" x14ac:dyDescent="0.35">
      <c r="A22" s="18" t="str">
        <f t="shared" si="0"/>
        <v>tanhb@inspur.com</v>
      </c>
      <c r="B22" s="18" t="str">
        <f t="shared" si="1"/>
        <v>sunqd@inspur.com;tanhb@inspur.com;wengxl@inspur.com;zhanglinfj@inspur.com;kangzp@inspur.com;tangjing@inspur.com;shenfh@inspur.com</v>
      </c>
      <c r="C22" s="19" t="str">
        <f t="shared" si="2"/>
        <v>云服务集团5月业务数据</v>
      </c>
      <c r="D22" s="20" t="str">
        <f t="shared" si="3"/>
        <v>谈总，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22" s="56" t="str">
        <f t="shared" si="4"/>
        <v>F:\工作\3浪潮云服务\市场部\本次发送\工作表合并\福建区.xlsx</v>
      </c>
      <c r="F22" s="70" t="s">
        <v>384</v>
      </c>
      <c r="G22" s="30"/>
      <c r="H22" s="61" t="str">
        <f t="shared" si="6"/>
        <v/>
      </c>
      <c r="I22" s="61" t="s">
        <v>563</v>
      </c>
      <c r="J22" s="36"/>
      <c r="N22" s="48" t="s">
        <v>100</v>
      </c>
      <c r="O22" s="1" t="s">
        <v>56</v>
      </c>
      <c r="P22" s="1">
        <v>15806679158</v>
      </c>
      <c r="Q22" s="23" t="s">
        <v>57</v>
      </c>
      <c r="R22" s="21"/>
      <c r="S22" s="53" t="s">
        <v>482</v>
      </c>
      <c r="T22" s="37" t="s">
        <v>261</v>
      </c>
      <c r="U22" s="50" t="s">
        <v>363</v>
      </c>
      <c r="V22" s="19" t="s">
        <v>165</v>
      </c>
      <c r="W22" s="19">
        <v>13850101878</v>
      </c>
      <c r="X22" s="23" t="s">
        <v>364</v>
      </c>
      <c r="Y22" s="19"/>
      <c r="Z22" s="68" t="s">
        <v>482</v>
      </c>
      <c r="AA22" s="37" t="s">
        <v>483</v>
      </c>
      <c r="AB22" s="65" t="s">
        <v>183</v>
      </c>
      <c r="AC22" s="19"/>
      <c r="AD22" s="23" t="s">
        <v>329</v>
      </c>
      <c r="AE22" s="19"/>
      <c r="AF22" s="37" t="s">
        <v>209</v>
      </c>
      <c r="AG22" s="23" t="s">
        <v>223</v>
      </c>
      <c r="AH22" s="23" t="str">
        <f>AM22&amp;";"&amp;AD22&amp;";"&amp;AG22</f>
        <v>tanhb@inspur.com;wengxl@inspur.com;zhanglinfj@inspur.com</v>
      </c>
      <c r="AI22" s="35" t="s">
        <v>183</v>
      </c>
      <c r="AJ22" s="35" t="s">
        <v>183</v>
      </c>
      <c r="AK22" s="54" t="s">
        <v>124</v>
      </c>
      <c r="AL22" s="37" t="s">
        <v>261</v>
      </c>
      <c r="AM22" s="23" t="s">
        <v>266</v>
      </c>
      <c r="AN22" s="19" t="s">
        <v>263</v>
      </c>
      <c r="AO22" s="20"/>
      <c r="AP22" s="37" t="s">
        <v>328</v>
      </c>
      <c r="AQ22" s="19" t="s">
        <v>66</v>
      </c>
      <c r="AR22" s="19">
        <v>15059157761</v>
      </c>
      <c r="AS22" s="19" t="s">
        <v>101</v>
      </c>
    </row>
    <row r="23" spans="1:45" ht="15.75" customHeight="1" x14ac:dyDescent="0.35">
      <c r="A23" s="18" t="str">
        <f t="shared" si="0"/>
        <v>loupeng@inspur.com</v>
      </c>
      <c r="B23" s="18" t="str">
        <f t="shared" si="1"/>
        <v>cuijm@inspur.com;;chengss@inspur.com;;kangzp@inspur.com;tangjing@inspur.com;shenfh@inspur.com</v>
      </c>
      <c r="C23" s="19" t="str">
        <f t="shared" si="2"/>
        <v>云服务集团5月业务数据</v>
      </c>
      <c r="D23" s="20" t="str">
        <f t="shared" si="3"/>
        <v>娄总，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23" s="56" t="str">
        <f t="shared" si="4"/>
        <v>F:\工作\3浪潮云服务\市场部\本次发送\工作表合并\新疆区.xlsx</v>
      </c>
      <c r="F23" s="70" t="s">
        <v>385</v>
      </c>
      <c r="G23" s="30"/>
      <c r="H23" s="61">
        <f t="shared" si="6"/>
        <v>1</v>
      </c>
      <c r="I23" s="61" t="s">
        <v>564</v>
      </c>
      <c r="J23" s="36"/>
      <c r="N23" s="46" t="s">
        <v>89</v>
      </c>
      <c r="O23" s="1" t="s">
        <v>50</v>
      </c>
      <c r="P23" s="1">
        <v>13999985001</v>
      </c>
      <c r="Q23" s="23" t="s">
        <v>51</v>
      </c>
      <c r="R23" s="21"/>
      <c r="S23" s="53" t="s">
        <v>123</v>
      </c>
      <c r="T23" s="37" t="s">
        <v>407</v>
      </c>
      <c r="U23" s="50" t="s">
        <v>408</v>
      </c>
      <c r="V23" s="19"/>
      <c r="W23" s="19">
        <v>18699020035</v>
      </c>
      <c r="X23" s="23" t="s">
        <v>409</v>
      </c>
      <c r="Y23" s="19"/>
      <c r="Z23" s="68" t="s">
        <v>123</v>
      </c>
      <c r="AA23" s="37" t="s">
        <v>485</v>
      </c>
      <c r="AB23" s="19" t="s">
        <v>66</v>
      </c>
      <c r="AC23" s="19">
        <v>13659956575</v>
      </c>
      <c r="AD23" s="23" t="s">
        <v>90</v>
      </c>
      <c r="AE23" s="19"/>
      <c r="AF23" s="37"/>
      <c r="AG23" s="23" t="s">
        <v>183</v>
      </c>
      <c r="AH23" s="23" t="str">
        <f t="shared" si="5"/>
        <v>;chengss@inspur.com;</v>
      </c>
      <c r="AI23" s="35" t="s">
        <v>183</v>
      </c>
      <c r="AJ23" s="35" t="s">
        <v>183</v>
      </c>
      <c r="AK23" s="54" t="s">
        <v>123</v>
      </c>
      <c r="AL23" s="37"/>
      <c r="AM23" s="23"/>
      <c r="AN23" s="19"/>
      <c r="AO23" s="20"/>
      <c r="AP23" s="37"/>
      <c r="AQ23" s="19"/>
      <c r="AR23" s="19"/>
      <c r="AS23" s="19"/>
    </row>
    <row r="24" spans="1:45" ht="15.75" customHeight="1" x14ac:dyDescent="0.35">
      <c r="A24" s="18" t="str">
        <f t="shared" si="0"/>
        <v>lianglin@inspur.com</v>
      </c>
      <c r="B24" s="18" t="str">
        <f t="shared" si="1"/>
        <v>liu.yong@inspur.com;;chenshl@inspur.com;;kangzp@inspur.com;tangjing@inspur.com;shenfh@inspur.com</v>
      </c>
      <c r="C24" s="19" t="str">
        <f t="shared" si="2"/>
        <v>云服务集团5月业务数据</v>
      </c>
      <c r="D24" s="20" t="str">
        <f t="shared" si="3"/>
        <v>梁总，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24" s="56" t="str">
        <f t="shared" si="4"/>
        <v>F:\工作\3浪潮云服务\市场部\本次发送\工作表合并\广西区.xlsx</v>
      </c>
      <c r="F24" s="70" t="s">
        <v>386</v>
      </c>
      <c r="G24" s="30"/>
      <c r="H24" s="61">
        <f t="shared" si="6"/>
        <v>1</v>
      </c>
      <c r="I24" s="61"/>
      <c r="J24" s="36"/>
      <c r="N24" s="46" t="s">
        <v>105</v>
      </c>
      <c r="O24" s="1" t="s">
        <v>16</v>
      </c>
      <c r="P24" s="1">
        <v>13759533658</v>
      </c>
      <c r="Q24" s="23" t="s">
        <v>17</v>
      </c>
      <c r="R24" s="21"/>
      <c r="S24" s="53" t="s">
        <v>122</v>
      </c>
      <c r="T24" s="37" t="s">
        <v>147</v>
      </c>
      <c r="U24" s="50" t="s">
        <v>283</v>
      </c>
      <c r="V24" s="19" t="s">
        <v>143</v>
      </c>
      <c r="W24" s="19">
        <v>13607710531</v>
      </c>
      <c r="X24" s="23" t="s">
        <v>171</v>
      </c>
      <c r="Y24" s="19"/>
      <c r="Z24" s="68" t="s">
        <v>122</v>
      </c>
      <c r="AA24" s="37" t="s">
        <v>487</v>
      </c>
      <c r="AB24" s="19" t="s">
        <v>73</v>
      </c>
      <c r="AC24" s="19">
        <v>15977759932</v>
      </c>
      <c r="AD24" s="23" t="s">
        <v>106</v>
      </c>
      <c r="AE24" s="19"/>
      <c r="AF24" s="37"/>
      <c r="AG24" s="23" t="s">
        <v>183</v>
      </c>
      <c r="AH24" s="23" t="str">
        <f t="shared" si="5"/>
        <v>;chenshl@inspur.com;</v>
      </c>
      <c r="AI24" s="35" t="s">
        <v>183</v>
      </c>
      <c r="AJ24" s="35" t="s">
        <v>183</v>
      </c>
      <c r="AK24" s="54" t="s">
        <v>122</v>
      </c>
      <c r="AL24" s="37"/>
      <c r="AM24" s="23"/>
      <c r="AN24" s="19"/>
      <c r="AO24" s="20"/>
      <c r="AP24" s="37"/>
      <c r="AQ24" s="19"/>
      <c r="AR24" s="19"/>
      <c r="AS24" s="19"/>
    </row>
    <row r="25" spans="1:45" ht="15.75" customHeight="1" x14ac:dyDescent="0.35">
      <c r="A25" s="18" t="str">
        <f t="shared" si="0"/>
        <v>kangll@inspur.com</v>
      </c>
      <c r="B25" s="18" t="str">
        <f t="shared" si="1"/>
        <v>kangkai@inspur.com;liumengfang@inspur.com;haoling@inspur.com;yumh@inspur.com;kangzp@inspur.com;tangjing@inspur.com;shenfh@inspur.com</v>
      </c>
      <c r="C25" s="19" t="str">
        <f t="shared" si="2"/>
        <v>云服务集团5月业务数据</v>
      </c>
      <c r="D25" s="20" t="str">
        <f t="shared" si="3"/>
        <v>康总，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25" s="56" t="str">
        <f t="shared" si="4"/>
        <v>F:\工作\3浪潮云服务\市场部\本次发送\工作表合并\重庆区.xlsx</v>
      </c>
      <c r="F25" s="70" t="s">
        <v>387</v>
      </c>
      <c r="G25" s="30"/>
      <c r="H25" s="61">
        <f t="shared" si="6"/>
        <v>1</v>
      </c>
      <c r="I25" s="61"/>
      <c r="J25" s="36"/>
      <c r="N25" s="46" t="s">
        <v>92</v>
      </c>
      <c r="O25" s="1" t="s">
        <v>415</v>
      </c>
      <c r="P25" s="1"/>
      <c r="Q25" s="23" t="s">
        <v>416</v>
      </c>
      <c r="R25" s="21"/>
      <c r="S25" s="53" t="s">
        <v>121</v>
      </c>
      <c r="T25" s="73" t="s">
        <v>528</v>
      </c>
      <c r="U25" s="50" t="s">
        <v>527</v>
      </c>
      <c r="V25" s="19" t="s">
        <v>165</v>
      </c>
      <c r="W25" s="19">
        <v>13389603995</v>
      </c>
      <c r="X25" s="23" t="s">
        <v>526</v>
      </c>
      <c r="Y25" s="19"/>
      <c r="Z25" s="68" t="s">
        <v>121</v>
      </c>
      <c r="AA25" s="37" t="s">
        <v>489</v>
      </c>
      <c r="AB25" s="19" t="s">
        <v>68</v>
      </c>
      <c r="AC25" s="19">
        <v>15923343988</v>
      </c>
      <c r="AD25" s="23" t="s">
        <v>93</v>
      </c>
      <c r="AE25" s="19"/>
      <c r="AF25" s="37" t="s">
        <v>523</v>
      </c>
      <c r="AG25" s="23" t="s">
        <v>313</v>
      </c>
      <c r="AH25" s="23" t="str">
        <f t="shared" si="5"/>
        <v>liumengfang@inspur.com;haoling@inspur.com;yumh@inspur.com</v>
      </c>
      <c r="AI25" s="35" t="s">
        <v>183</v>
      </c>
      <c r="AJ25" s="35" t="s">
        <v>183</v>
      </c>
      <c r="AK25" s="54" t="s">
        <v>121</v>
      </c>
      <c r="AL25" s="37" t="s">
        <v>356</v>
      </c>
      <c r="AM25" s="23" t="s">
        <v>355</v>
      </c>
      <c r="AN25" s="19" t="s">
        <v>357</v>
      </c>
      <c r="AO25" s="20"/>
      <c r="AP25" s="37"/>
      <c r="AQ25" s="19"/>
      <c r="AR25" s="19"/>
      <c r="AS25" s="19"/>
    </row>
    <row r="26" spans="1:45" ht="15.75" hidden="1" customHeight="1" x14ac:dyDescent="0.35">
      <c r="A26" s="18" t="str">
        <f t="shared" si="0"/>
        <v>houdj@inspur.com</v>
      </c>
      <c r="B26" s="18" t="str">
        <f t="shared" si="1"/>
        <v>xinjl@inspur.com;;benhy@insur.com;lixialc@inspur.com;kangzp@inspur.com;tangjing@inspur.com;shenfh@inspur.com</v>
      </c>
      <c r="C26" s="19" t="str">
        <f t="shared" si="2"/>
        <v>云服务集团5月业务数据</v>
      </c>
      <c r="D26" s="20" t="str">
        <f t="shared" si="3"/>
        <v>侯总，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26" s="56" t="str">
        <f t="shared" si="4"/>
        <v>F:\工作\3浪潮云服务\市场部\本次发送\工作表合并\浙江区.xlsx</v>
      </c>
      <c r="F26" s="70" t="s">
        <v>388</v>
      </c>
      <c r="G26" s="30"/>
      <c r="H26" s="61" t="str">
        <f t="shared" si="6"/>
        <v/>
      </c>
      <c r="I26" s="61"/>
      <c r="J26" s="36"/>
      <c r="N26" s="46" t="s">
        <v>103</v>
      </c>
      <c r="O26" s="1" t="s">
        <v>54</v>
      </c>
      <c r="P26" s="1">
        <v>15658879929</v>
      </c>
      <c r="Q26" s="23" t="s">
        <v>55</v>
      </c>
      <c r="R26" s="21"/>
      <c r="S26" s="53" t="s">
        <v>490</v>
      </c>
      <c r="T26" s="37" t="s">
        <v>419</v>
      </c>
      <c r="U26" s="50" t="s">
        <v>420</v>
      </c>
      <c r="V26" s="19" t="s">
        <v>421</v>
      </c>
      <c r="W26" s="19">
        <v>18953119966</v>
      </c>
      <c r="X26" s="23" t="s">
        <v>422</v>
      </c>
      <c r="Y26" s="19"/>
      <c r="Z26" s="68" t="s">
        <v>490</v>
      </c>
      <c r="AA26" s="37" t="s">
        <v>491</v>
      </c>
      <c r="AB26" s="19" t="s">
        <v>66</v>
      </c>
      <c r="AC26" s="19">
        <v>18668060228</v>
      </c>
      <c r="AD26" s="23" t="s">
        <v>104</v>
      </c>
      <c r="AE26" s="19"/>
      <c r="AF26" s="37" t="s">
        <v>524</v>
      </c>
      <c r="AG26" s="23" t="s">
        <v>272</v>
      </c>
      <c r="AH26" s="23" t="str">
        <f t="shared" si="5"/>
        <v>;benhy@insur.com;lixialc@inspur.com</v>
      </c>
      <c r="AI26" s="35" t="s">
        <v>183</v>
      </c>
      <c r="AJ26" s="35" t="s">
        <v>183</v>
      </c>
      <c r="AK26" s="54" t="s">
        <v>103</v>
      </c>
      <c r="AL26" s="37"/>
      <c r="AM26" s="23"/>
      <c r="AN26" s="19"/>
      <c r="AO26" s="20"/>
      <c r="AP26" s="37"/>
      <c r="AQ26" s="19"/>
      <c r="AR26" s="19"/>
      <c r="AS26" s="19"/>
    </row>
    <row r="27" spans="1:45" ht="15.75" customHeight="1" x14ac:dyDescent="0.35">
      <c r="A27" s="18" t="str">
        <f t="shared" si="0"/>
        <v>jiangy@inspur.com</v>
      </c>
      <c r="B27" s="18" t="str">
        <f t="shared" si="1"/>
        <v>lixin@inspur.com;;fuyx@inspur.com;;kangzp@inspur.com;tangjing@inspur.com;shenfh@inspur.com</v>
      </c>
      <c r="C27" s="19" t="str">
        <f t="shared" si="2"/>
        <v>云服务集团5月业务数据</v>
      </c>
      <c r="D27" s="20" t="str">
        <f t="shared" si="3"/>
        <v>江总，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27" s="56" t="str">
        <f t="shared" si="4"/>
        <v>F:\工作\3浪潮云服务\市场部\本次发送\工作表合并\贵州区.xlsx</v>
      </c>
      <c r="F27" s="71" t="s">
        <v>389</v>
      </c>
      <c r="G27" s="30"/>
      <c r="H27" s="61">
        <f t="shared" si="6"/>
        <v>1</v>
      </c>
      <c r="I27" s="61"/>
      <c r="J27" s="36"/>
      <c r="N27" s="46" t="s">
        <v>107</v>
      </c>
      <c r="O27" s="2" t="s">
        <v>18</v>
      </c>
      <c r="P27" s="2">
        <v>13385115600</v>
      </c>
      <c r="Q27" s="23" t="s">
        <v>19</v>
      </c>
      <c r="R27" s="21"/>
      <c r="S27" s="53" t="s">
        <v>120</v>
      </c>
      <c r="T27" s="37" t="s">
        <v>148</v>
      </c>
      <c r="U27" s="50" t="s">
        <v>284</v>
      </c>
      <c r="V27" s="19" t="s">
        <v>143</v>
      </c>
      <c r="W27" s="19">
        <v>18985187797</v>
      </c>
      <c r="X27" s="23" t="s">
        <v>308</v>
      </c>
      <c r="Y27" s="19"/>
      <c r="Z27" s="68" t="s">
        <v>120</v>
      </c>
      <c r="AA27" s="37" t="s">
        <v>493</v>
      </c>
      <c r="AB27" s="19" t="s">
        <v>73</v>
      </c>
      <c r="AC27" s="19">
        <v>13312213132</v>
      </c>
      <c r="AD27" s="23" t="s">
        <v>108</v>
      </c>
      <c r="AE27" s="19"/>
      <c r="AF27" s="37"/>
      <c r="AG27" s="23" t="s">
        <v>183</v>
      </c>
      <c r="AH27" s="23" t="str">
        <f t="shared" si="5"/>
        <v>;fuyx@inspur.com;</v>
      </c>
      <c r="AI27" s="35" t="s">
        <v>183</v>
      </c>
      <c r="AJ27" s="35" t="s">
        <v>183</v>
      </c>
      <c r="AK27" s="54" t="s">
        <v>120</v>
      </c>
      <c r="AL27" s="37"/>
      <c r="AM27" s="23"/>
      <c r="AN27" s="19"/>
      <c r="AO27" s="20"/>
      <c r="AP27" s="37"/>
      <c r="AQ27" s="19"/>
      <c r="AR27" s="19"/>
      <c r="AS27" s="19"/>
    </row>
    <row r="28" spans="1:45" ht="15.75" hidden="1" customHeight="1" x14ac:dyDescent="0.35">
      <c r="A28" s="18" t="str">
        <f t="shared" si="0"/>
        <v>liangwg@inspur.com</v>
      </c>
      <c r="B28" s="18" t="str">
        <f t="shared" si="1"/>
        <v>tianysh@inspur.com;;liupf@inspur.com;;kangzp@inspur.com;tangjing@inspur.com;shenfh@inspur.com</v>
      </c>
      <c r="C28" s="19" t="str">
        <f t="shared" si="2"/>
        <v>云服务集团5月业务数据</v>
      </c>
      <c r="D28" s="20" t="str">
        <f t="shared" si="3"/>
        <v>梁总，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28" s="56" t="str">
        <f t="shared" si="4"/>
        <v>F:\工作\3浪潮云服务\市场部\本次发送\工作表合并\吉林区.xlsx</v>
      </c>
      <c r="F28" s="71" t="s">
        <v>390</v>
      </c>
      <c r="G28" s="30"/>
      <c r="H28" s="61" t="str">
        <f t="shared" si="6"/>
        <v/>
      </c>
      <c r="I28" s="61"/>
      <c r="J28" s="36"/>
      <c r="N28" s="46" t="s">
        <v>102</v>
      </c>
      <c r="O28" s="2" t="s">
        <v>30</v>
      </c>
      <c r="P28" s="2">
        <v>13904310166</v>
      </c>
      <c r="Q28" s="23" t="s">
        <v>31</v>
      </c>
      <c r="R28" s="21"/>
      <c r="S28" s="53" t="s">
        <v>119</v>
      </c>
      <c r="T28" s="37" t="s">
        <v>293</v>
      </c>
      <c r="U28" s="50" t="s">
        <v>294</v>
      </c>
      <c r="V28" s="19" t="s">
        <v>143</v>
      </c>
      <c r="W28" s="19">
        <v>13904310878</v>
      </c>
      <c r="X28" s="23" t="s">
        <v>309</v>
      </c>
      <c r="Y28" s="19"/>
      <c r="Z28" s="68" t="s">
        <v>119</v>
      </c>
      <c r="AA28" s="37" t="s">
        <v>495</v>
      </c>
      <c r="AB28" s="19" t="s">
        <v>66</v>
      </c>
      <c r="AC28" s="19">
        <v>15104310492</v>
      </c>
      <c r="AD28" s="23" t="s">
        <v>295</v>
      </c>
      <c r="AE28" s="19"/>
      <c r="AF28" s="37"/>
      <c r="AG28" s="23" t="s">
        <v>183</v>
      </c>
      <c r="AH28" s="23" t="str">
        <f t="shared" si="5"/>
        <v>;liupf@inspur.com;</v>
      </c>
      <c r="AI28" s="35" t="s">
        <v>183</v>
      </c>
      <c r="AJ28" s="35" t="s">
        <v>183</v>
      </c>
      <c r="AK28" s="54" t="s">
        <v>119</v>
      </c>
      <c r="AL28" s="37"/>
      <c r="AM28" s="23"/>
      <c r="AN28" s="19"/>
      <c r="AO28" s="20"/>
      <c r="AP28" s="37"/>
      <c r="AQ28" s="19"/>
      <c r="AR28" s="19"/>
      <c r="AS28" s="19"/>
    </row>
    <row r="29" spans="1:45" ht="15.75" customHeight="1" x14ac:dyDescent="0.35">
      <c r="A29" s="18" t="str">
        <f t="shared" si="0"/>
        <v>jinlei@inspur.com</v>
      </c>
      <c r="B29" s="18" t="str">
        <f t="shared" si="1"/>
        <v>zhengxin@inspur.com;;guowj@inspur.com;zhangxiaohong@inspur.com;kangzp@inspur.com;tangjing@inspur.com;shenfh@inspur.com</v>
      </c>
      <c r="C29" s="19" t="str">
        <f t="shared" si="2"/>
        <v>云服务集团5月业务数据</v>
      </c>
      <c r="D29" s="20" t="str">
        <f t="shared" si="3"/>
        <v>靳总，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29" s="56" t="str">
        <f t="shared" si="4"/>
        <v>F:\工作\3浪潮云服务\市场部\本次发送\工作表合并\云南区.xlsx</v>
      </c>
      <c r="F29" s="70" t="s">
        <v>391</v>
      </c>
      <c r="G29" s="30"/>
      <c r="H29" s="61">
        <f t="shared" si="6"/>
        <v>1</v>
      </c>
      <c r="I29" s="61"/>
      <c r="J29" s="36"/>
      <c r="N29" s="46" t="s">
        <v>98</v>
      </c>
      <c r="O29" s="1" t="s">
        <v>52</v>
      </c>
      <c r="P29" s="1">
        <v>13911166859</v>
      </c>
      <c r="Q29" s="23" t="s">
        <v>53</v>
      </c>
      <c r="R29" s="21"/>
      <c r="S29" s="53" t="s">
        <v>118</v>
      </c>
      <c r="T29" s="37" t="s">
        <v>166</v>
      </c>
      <c r="U29" s="50" t="s">
        <v>285</v>
      </c>
      <c r="V29" s="19" t="s">
        <v>143</v>
      </c>
      <c r="W29" s="19">
        <v>13769110025</v>
      </c>
      <c r="X29" s="23" t="s">
        <v>172</v>
      </c>
      <c r="Y29" s="19"/>
      <c r="Z29" s="68" t="s">
        <v>118</v>
      </c>
      <c r="AA29" s="37" t="s">
        <v>497</v>
      </c>
      <c r="AB29" s="19" t="s">
        <v>80</v>
      </c>
      <c r="AC29" s="19">
        <v>18653172188</v>
      </c>
      <c r="AD29" s="23" t="s">
        <v>99</v>
      </c>
      <c r="AE29" s="19"/>
      <c r="AF29" s="37" t="s">
        <v>525</v>
      </c>
      <c r="AG29" s="23" t="s">
        <v>224</v>
      </c>
      <c r="AH29" s="23" t="str">
        <f t="shared" si="5"/>
        <v>;guowj@inspur.com;zhangxiaohong@inspur.com</v>
      </c>
      <c r="AI29" s="35" t="s">
        <v>183</v>
      </c>
      <c r="AJ29" s="35" t="s">
        <v>183</v>
      </c>
      <c r="AK29" s="54" t="s">
        <v>118</v>
      </c>
      <c r="AL29" s="37"/>
      <c r="AM29" s="23"/>
      <c r="AN29" s="19"/>
      <c r="AO29" s="20"/>
      <c r="AP29" s="37"/>
      <c r="AQ29" s="19"/>
      <c r="AR29" s="19"/>
      <c r="AS29" s="19"/>
    </row>
    <row r="30" spans="1:45" ht="15.75" customHeight="1" x14ac:dyDescent="0.35">
      <c r="A30" s="18" t="str">
        <f t="shared" si="0"/>
        <v>ye_hui@inspur.com</v>
      </c>
      <c r="B30" s="18" t="str">
        <f t="shared" si="1"/>
        <v>qinchen@inspur.com;;thz@inspur.com;;kangzp@inspur.com;tangjing@inspur.com;shenfh@inspur.com</v>
      </c>
      <c r="C30" s="19" t="str">
        <f t="shared" si="2"/>
        <v>云服务集团5月业务数据</v>
      </c>
      <c r="D30" s="20" t="str">
        <f t="shared" si="3"/>
        <v>叶总，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30" s="56" t="str">
        <f t="shared" si="4"/>
        <v>F:\工作\3浪潮云服务\市场部\本次发送\工作表合并\海南区.xlsx</v>
      </c>
      <c r="F30" s="70" t="s">
        <v>392</v>
      </c>
      <c r="G30" s="30"/>
      <c r="H30" s="61">
        <f t="shared" si="6"/>
        <v>1</v>
      </c>
      <c r="I30" s="61"/>
      <c r="J30" s="36"/>
      <c r="N30" s="46" t="s">
        <v>114</v>
      </c>
      <c r="O30" s="1" t="s">
        <v>20</v>
      </c>
      <c r="P30" s="1">
        <v>18608994333</v>
      </c>
      <c r="Q30" s="23" t="s">
        <v>21</v>
      </c>
      <c r="R30" s="21"/>
      <c r="S30" s="53" t="s">
        <v>498</v>
      </c>
      <c r="T30" s="1" t="s">
        <v>532</v>
      </c>
      <c r="U30" s="50" t="s">
        <v>533</v>
      </c>
      <c r="V30" s="19"/>
      <c r="W30" s="19">
        <v>18907623892</v>
      </c>
      <c r="X30" s="4" t="s">
        <v>534</v>
      </c>
      <c r="Y30" s="19"/>
      <c r="Z30" s="68" t="s">
        <v>498</v>
      </c>
      <c r="AA30" s="37" t="s">
        <v>500</v>
      </c>
      <c r="AB30" s="65" t="s">
        <v>183</v>
      </c>
      <c r="AC30" s="19"/>
      <c r="AD30" s="23" t="s">
        <v>234</v>
      </c>
      <c r="AE30" s="19"/>
      <c r="AF30" s="37"/>
      <c r="AG30" s="23" t="s">
        <v>183</v>
      </c>
      <c r="AH30" s="23" t="str">
        <f t="shared" si="5"/>
        <v>;thz@inspur.com;</v>
      </c>
      <c r="AI30" s="35" t="s">
        <v>183</v>
      </c>
      <c r="AJ30" s="35" t="s">
        <v>183</v>
      </c>
      <c r="AK30" s="54" t="s">
        <v>114</v>
      </c>
      <c r="AL30" s="37"/>
      <c r="AM30" s="23"/>
      <c r="AN30" s="19"/>
      <c r="AO30" s="20"/>
      <c r="AP30" s="37"/>
      <c r="AQ30" s="19"/>
      <c r="AR30" s="19"/>
      <c r="AS30" s="19"/>
    </row>
    <row r="31" spans="1:45" ht="15.75" customHeight="1" x14ac:dyDescent="0.35">
      <c r="A31" s="18" t="str">
        <f t="shared" si="0"/>
        <v>songning@inspur.com</v>
      </c>
      <c r="B31" s="18" t="str">
        <f t="shared" si="1"/>
        <v>wangnj@inspur.com;;hanmin@insur.com;;kangzp@inspur.com;tangjing@inspur.com;shenfh@inspur.com</v>
      </c>
      <c r="C31" s="19" t="str">
        <f t="shared" si="2"/>
        <v>云服务集团5月业务数据</v>
      </c>
      <c r="D31" s="20" t="str">
        <f t="shared" si="3"/>
        <v>宋总，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31" s="56" t="str">
        <f t="shared" si="4"/>
        <v>F:\工作\3浪潮云服务\市场部\本次发送\工作表合并\宁夏区.xlsx</v>
      </c>
      <c r="F31" s="70" t="s">
        <v>393</v>
      </c>
      <c r="G31" s="30"/>
      <c r="H31" s="61">
        <f t="shared" si="6"/>
        <v>1</v>
      </c>
      <c r="I31" s="61"/>
      <c r="J31" s="36"/>
      <c r="N31" s="46" t="s">
        <v>109</v>
      </c>
      <c r="O31" s="1" t="s">
        <v>38</v>
      </c>
      <c r="P31" s="1">
        <v>13309595050</v>
      </c>
      <c r="Q31" s="23" t="s">
        <v>39</v>
      </c>
      <c r="R31" s="21"/>
      <c r="S31" s="53" t="s">
        <v>163</v>
      </c>
      <c r="T31" s="37" t="s">
        <v>155</v>
      </c>
      <c r="U31" s="50" t="s">
        <v>286</v>
      </c>
      <c r="V31" s="19" t="s">
        <v>143</v>
      </c>
      <c r="W31" s="19">
        <v>13909519110</v>
      </c>
      <c r="X31" s="23" t="s">
        <v>173</v>
      </c>
      <c r="Y31" s="19"/>
      <c r="Z31" s="68" t="s">
        <v>163</v>
      </c>
      <c r="AA31" s="37" t="s">
        <v>502</v>
      </c>
      <c r="AB31" s="19" t="s">
        <v>66</v>
      </c>
      <c r="AC31" s="19">
        <v>18991165433</v>
      </c>
      <c r="AD31" s="23" t="s">
        <v>110</v>
      </c>
      <c r="AE31" s="19"/>
      <c r="AF31" s="37"/>
      <c r="AG31" s="23" t="s">
        <v>183</v>
      </c>
      <c r="AH31" s="23" t="str">
        <f t="shared" si="5"/>
        <v>;hanmin@insur.com;</v>
      </c>
      <c r="AI31" s="35" t="s">
        <v>183</v>
      </c>
      <c r="AJ31" s="35" t="s">
        <v>183</v>
      </c>
      <c r="AK31" s="54" t="s">
        <v>163</v>
      </c>
      <c r="AL31" s="37"/>
      <c r="AM31" s="23"/>
      <c r="AN31" s="19"/>
      <c r="AO31" s="20"/>
      <c r="AP31" s="37"/>
      <c r="AQ31" s="19"/>
      <c r="AR31" s="19"/>
      <c r="AS31" s="19"/>
    </row>
    <row r="32" spans="1:45" ht="15.75" customHeight="1" x14ac:dyDescent="0.35">
      <c r="A32" s="18" t="str">
        <f t="shared" si="0"/>
        <v>liuchuanhui@inspur.com</v>
      </c>
      <c r="B32" s="18" t="str">
        <f t="shared" si="1"/>
        <v>liu_gang@inspur.com;miaokai@inspur.com;yangxueli@inspur.com;;kangzp@inspur.com;tangjing@inspur.com;shenfh@inspur.com</v>
      </c>
      <c r="C32" s="19" t="str">
        <f t="shared" si="2"/>
        <v>云服务集团5月业务数据</v>
      </c>
      <c r="D32" s="20" t="str">
        <f t="shared" si="3"/>
        <v>刘总，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32" s="56" t="str">
        <f t="shared" si="4"/>
        <v>F:\工作\3浪潮云服务\市场部\本次发送\工作表合并\青海区.xlsx</v>
      </c>
      <c r="F32" s="70" t="s">
        <v>394</v>
      </c>
      <c r="G32" s="30"/>
      <c r="H32" s="61">
        <f t="shared" si="6"/>
        <v>1</v>
      </c>
      <c r="I32" s="61"/>
      <c r="J32" s="36"/>
      <c r="N32" s="46" t="s">
        <v>111</v>
      </c>
      <c r="O32" s="1" t="s">
        <v>353</v>
      </c>
      <c r="P32" s="1">
        <v>13893613145</v>
      </c>
      <c r="Q32" s="23" t="s">
        <v>354</v>
      </c>
      <c r="R32" s="21"/>
      <c r="S32" s="53" t="s">
        <v>164</v>
      </c>
      <c r="T32" s="37" t="s">
        <v>427</v>
      </c>
      <c r="U32" s="50" t="s">
        <v>320</v>
      </c>
      <c r="V32" s="19"/>
      <c r="W32" s="19">
        <v>13355412003</v>
      </c>
      <c r="X32" s="23" t="s">
        <v>428</v>
      </c>
      <c r="Y32" s="19"/>
      <c r="Z32" s="68" t="s">
        <v>164</v>
      </c>
      <c r="AA32" s="37" t="s">
        <v>504</v>
      </c>
      <c r="AB32" s="19" t="s">
        <v>66</v>
      </c>
      <c r="AC32" s="19">
        <v>15309719572</v>
      </c>
      <c r="AD32" s="23" t="s">
        <v>112</v>
      </c>
      <c r="AE32" s="19"/>
      <c r="AF32" s="37"/>
      <c r="AG32" s="23" t="s">
        <v>183</v>
      </c>
      <c r="AH32" s="23" t="str">
        <f t="shared" si="5"/>
        <v>miaokai@inspur.com;yangxueli@inspur.com;</v>
      </c>
      <c r="AI32" s="35" t="s">
        <v>183</v>
      </c>
      <c r="AJ32" s="35" t="s">
        <v>183</v>
      </c>
      <c r="AK32" s="54" t="s">
        <v>164</v>
      </c>
      <c r="AL32" s="37" t="s">
        <v>149</v>
      </c>
      <c r="AM32" s="23" t="s">
        <v>300</v>
      </c>
      <c r="AN32" s="19" t="s">
        <v>143</v>
      </c>
      <c r="AO32" s="20">
        <v>18697133660</v>
      </c>
      <c r="AP32" s="37"/>
      <c r="AQ32" s="19"/>
      <c r="AR32" s="19"/>
      <c r="AS32" s="19"/>
    </row>
    <row r="33" spans="1:45" ht="15.75" customHeight="1" x14ac:dyDescent="0.35">
      <c r="A33" s="18" t="str">
        <f t="shared" si="0"/>
        <v>tanghong@inspur.com</v>
      </c>
      <c r="B33" s="18" t="str">
        <f t="shared" si="1"/>
        <v>wangshan@inspur.com;;aixy@inspur.com;;kangzp@inspur.com;tangjing@inspur.com;shenfh@inspur.com</v>
      </c>
      <c r="C33" s="19" t="str">
        <f t="shared" si="2"/>
        <v>云服务集团5月业务数据</v>
      </c>
      <c r="D33" s="20" t="str">
        <f t="shared" si="3"/>
        <v>唐总，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33" s="56" t="str">
        <f t="shared" si="4"/>
        <v>F:\工作\3浪潮云服务\市场部\本次发送\工作表合并\西藏区.xlsx</v>
      </c>
      <c r="F33" s="70" t="s">
        <v>395</v>
      </c>
      <c r="G33" s="30"/>
      <c r="H33" s="61">
        <f t="shared" si="6"/>
        <v>1</v>
      </c>
      <c r="I33" s="61"/>
      <c r="J33" s="36"/>
      <c r="N33" s="48" t="s">
        <v>206</v>
      </c>
      <c r="O33" s="3" t="s">
        <v>207</v>
      </c>
      <c r="P33" s="3"/>
      <c r="Q33" s="23" t="s">
        <v>257</v>
      </c>
      <c r="R33" s="22"/>
      <c r="S33" s="53" t="s">
        <v>206</v>
      </c>
      <c r="T33" s="37" t="s">
        <v>208</v>
      </c>
      <c r="U33" s="50" t="s">
        <v>287</v>
      </c>
      <c r="V33" s="19"/>
      <c r="W33" s="19">
        <v>17380628812</v>
      </c>
      <c r="X33" s="23" t="s">
        <v>310</v>
      </c>
      <c r="Y33" s="19"/>
      <c r="Z33" s="68" t="s">
        <v>206</v>
      </c>
      <c r="AA33" s="37" t="s">
        <v>506</v>
      </c>
      <c r="AB33" s="65" t="s">
        <v>183</v>
      </c>
      <c r="AC33" s="19"/>
      <c r="AD33" s="23" t="s">
        <v>255</v>
      </c>
      <c r="AE33" s="19"/>
      <c r="AF33" s="37"/>
      <c r="AG33" s="23" t="s">
        <v>183</v>
      </c>
      <c r="AH33" s="23" t="str">
        <f t="shared" si="5"/>
        <v>;aixy@inspur.com;</v>
      </c>
      <c r="AI33" s="35" t="s">
        <v>183</v>
      </c>
      <c r="AJ33" s="35" t="s">
        <v>183</v>
      </c>
      <c r="AK33" s="54" t="s">
        <v>206</v>
      </c>
      <c r="AL33" s="37"/>
      <c r="AM33" s="23"/>
      <c r="AN33" s="19"/>
      <c r="AO33" s="20"/>
      <c r="AP33" s="37"/>
      <c r="AQ33" s="19"/>
      <c r="AR33" s="19"/>
      <c r="AS33" s="19"/>
    </row>
    <row r="34" spans="1:45" ht="15.75" hidden="1" customHeight="1" x14ac:dyDescent="0.35">
      <c r="A34" s="18" t="str">
        <f t="shared" si="0"/>
        <v/>
      </c>
      <c r="B34" s="18" t="str">
        <f t="shared" si="1"/>
        <v>;;gaozhm@inspur.com;;kangzp@inspur.com;tangjing@inspur.com;shenfh@inspur.com</v>
      </c>
      <c r="C34" s="19" t="str">
        <f t="shared" si="2"/>
        <v>云服务集团5月业务数据</v>
      </c>
      <c r="D34" s="20" t="str">
        <f t="shared" si="3"/>
        <v>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34" s="56" t="str">
        <f t="shared" si="4"/>
        <v>F:\工作\3浪潮云服务\市场部\本次发送\工作表合并\电话销售部.xlsx</v>
      </c>
      <c r="F34" s="37" t="s">
        <v>194</v>
      </c>
      <c r="G34" s="30" t="s">
        <v>183</v>
      </c>
      <c r="H34" s="61" t="str">
        <f t="shared" si="6"/>
        <v/>
      </c>
      <c r="I34" s="61"/>
      <c r="J34" s="36"/>
      <c r="K34" s="38"/>
      <c r="L34" s="38"/>
      <c r="M34" s="38"/>
      <c r="N34" s="49" t="s">
        <v>194</v>
      </c>
      <c r="O34" s="37"/>
      <c r="P34" s="19"/>
      <c r="Q34" s="23"/>
      <c r="R34" s="19"/>
      <c r="S34" s="53" t="s">
        <v>507</v>
      </c>
      <c r="T34" s="37"/>
      <c r="U34" s="50" t="s">
        <v>183</v>
      </c>
      <c r="V34" s="19"/>
      <c r="W34" s="19"/>
      <c r="X34" s="23"/>
      <c r="Y34" s="19"/>
      <c r="Z34" s="68" t="s">
        <v>507</v>
      </c>
      <c r="AA34" s="37" t="s">
        <v>508</v>
      </c>
      <c r="AB34" s="65" t="s">
        <v>183</v>
      </c>
      <c r="AC34" s="19"/>
      <c r="AD34" s="23" t="s">
        <v>247</v>
      </c>
      <c r="AE34" s="19"/>
      <c r="AF34" s="37"/>
      <c r="AG34" s="23"/>
      <c r="AH34" s="23" t="str">
        <f t="shared" si="5"/>
        <v>;gaozhm@inspur.com;</v>
      </c>
      <c r="AI34" s="35" t="s">
        <v>183</v>
      </c>
      <c r="AJ34" s="35" t="s">
        <v>183</v>
      </c>
      <c r="AK34" s="54" t="s">
        <v>194</v>
      </c>
      <c r="AL34" s="37"/>
      <c r="AM34" s="23"/>
      <c r="AN34" s="19"/>
      <c r="AO34" s="20"/>
      <c r="AP34" s="37"/>
      <c r="AQ34" s="19"/>
      <c r="AR34" s="19"/>
      <c r="AS34" s="19"/>
    </row>
    <row r="35" spans="1:45" ht="15.75" hidden="1" customHeight="1" x14ac:dyDescent="0.35">
      <c r="A35" s="18" t="str">
        <f t="shared" si="0"/>
        <v/>
      </c>
      <c r="B35" s="18" t="str">
        <f t="shared" si="1"/>
        <v>;;wangjiao@inspur.com;;kangzp@inspur.com;tangjing@inspur.com;shenfh@inspur.com</v>
      </c>
      <c r="C35" s="19" t="str">
        <f t="shared" si="2"/>
        <v>云服务集团5月业务数据</v>
      </c>
      <c r="D35" s="20" t="str">
        <f t="shared" si="3"/>
        <v>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35" s="56" t="str">
        <f t="shared" si="4"/>
        <v>F:\工作\3浪潮云服务\市场部\本次发送\工作表合并\区域发展部.xlsx</v>
      </c>
      <c r="F35" s="37" t="s">
        <v>195</v>
      </c>
      <c r="G35" s="30" t="s">
        <v>183</v>
      </c>
      <c r="H35" s="61" t="str">
        <f t="shared" si="6"/>
        <v/>
      </c>
      <c r="I35" s="61"/>
      <c r="J35" s="36"/>
      <c r="K35" s="38"/>
      <c r="L35" s="38"/>
      <c r="M35" s="38"/>
      <c r="N35" s="49" t="s">
        <v>195</v>
      </c>
      <c r="O35" s="37"/>
      <c r="P35" s="19"/>
      <c r="Q35" s="23"/>
      <c r="R35" s="19"/>
      <c r="S35" s="53" t="s">
        <v>195</v>
      </c>
      <c r="T35" s="37"/>
      <c r="U35" s="50" t="s">
        <v>183</v>
      </c>
      <c r="V35" s="19"/>
      <c r="W35" s="19"/>
      <c r="X35" s="23"/>
      <c r="Y35" s="19"/>
      <c r="Z35" s="68" t="s">
        <v>195</v>
      </c>
      <c r="AA35" s="37" t="s">
        <v>196</v>
      </c>
      <c r="AB35" s="65" t="s">
        <v>183</v>
      </c>
      <c r="AC35" s="19"/>
      <c r="AD35" s="23" t="s">
        <v>225</v>
      </c>
      <c r="AE35" s="19"/>
      <c r="AF35" s="37"/>
      <c r="AG35" s="23"/>
      <c r="AH35" s="23" t="str">
        <f t="shared" si="5"/>
        <v>;wangjiao@inspur.com;</v>
      </c>
      <c r="AI35" s="35" t="s">
        <v>183</v>
      </c>
      <c r="AJ35" s="35" t="s">
        <v>183</v>
      </c>
      <c r="AK35" s="54" t="s">
        <v>195</v>
      </c>
      <c r="AL35" s="37"/>
      <c r="AM35" s="23"/>
      <c r="AN35" s="19"/>
      <c r="AO35" s="20"/>
      <c r="AP35" s="37"/>
      <c r="AQ35" s="19"/>
      <c r="AR35" s="19"/>
      <c r="AS35" s="19"/>
    </row>
    <row r="36" spans="1:45" ht="15.75" hidden="1" customHeight="1" x14ac:dyDescent="0.35">
      <c r="A36" s="18" t="str">
        <f t="shared" si="0"/>
        <v>zhaojun@inspur.com</v>
      </c>
      <c r="B36" s="18" t="str">
        <f t="shared" si="1"/>
        <v>tianht@inspur.com;;liuzhiyu@inspur.com;;kangzp@inspur.com;tangjing@inspur.com;shenfh@inspur.com</v>
      </c>
      <c r="C36" s="19" t="str">
        <f t="shared" si="2"/>
        <v>云服务集团5月业务数据</v>
      </c>
      <c r="D36" s="20" t="str">
        <f t="shared" si="3"/>
        <v>赵总，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36" s="56" t="str">
        <f t="shared" si="4"/>
        <v>F:\工作\3浪潮云服务\市场部\本次发送\工作表合并\政法行业部.xlsx</v>
      </c>
      <c r="F36" s="37" t="s">
        <v>197</v>
      </c>
      <c r="G36" s="30" t="s">
        <v>183</v>
      </c>
      <c r="H36" s="61" t="str">
        <f t="shared" si="6"/>
        <v/>
      </c>
      <c r="I36" s="61"/>
      <c r="J36" s="36"/>
      <c r="K36" s="38"/>
      <c r="L36" s="38"/>
      <c r="M36" s="38"/>
      <c r="N36" s="49" t="s">
        <v>197</v>
      </c>
      <c r="O36" s="1" t="s">
        <v>235</v>
      </c>
      <c r="P36" s="19"/>
      <c r="Q36" s="23" t="s">
        <v>248</v>
      </c>
      <c r="R36" s="19"/>
      <c r="S36" s="53" t="s">
        <v>197</v>
      </c>
      <c r="T36" s="37" t="s">
        <v>241</v>
      </c>
      <c r="U36" s="50" t="s">
        <v>275</v>
      </c>
      <c r="V36" s="19"/>
      <c r="W36" s="19">
        <v>13305317619</v>
      </c>
      <c r="X36" s="23" t="s">
        <v>253</v>
      </c>
      <c r="Y36" s="19"/>
      <c r="Z36" s="68" t="s">
        <v>197</v>
      </c>
      <c r="AA36" s="37" t="s">
        <v>210</v>
      </c>
      <c r="AB36" s="65" t="s">
        <v>183</v>
      </c>
      <c r="AC36" s="19"/>
      <c r="AD36" s="23" t="s">
        <v>226</v>
      </c>
      <c r="AE36" s="19"/>
      <c r="AF36" s="37"/>
      <c r="AG36" s="23"/>
      <c r="AH36" s="23" t="str">
        <f t="shared" si="5"/>
        <v>;liuzhiyu@inspur.com;</v>
      </c>
      <c r="AI36" s="35" t="s">
        <v>183</v>
      </c>
      <c r="AJ36" s="35" t="s">
        <v>183</v>
      </c>
      <c r="AK36" s="54" t="s">
        <v>197</v>
      </c>
      <c r="AL36" s="37"/>
      <c r="AM36" s="23"/>
      <c r="AN36" s="19"/>
      <c r="AO36" s="20"/>
      <c r="AP36" s="37"/>
      <c r="AQ36" s="19"/>
      <c r="AR36" s="19"/>
      <c r="AS36" s="19"/>
    </row>
    <row r="37" spans="1:45" ht="15.75" hidden="1" customHeight="1" x14ac:dyDescent="0.35">
      <c r="A37" s="18" t="str">
        <f t="shared" si="0"/>
        <v>li.yj@inspur.com</v>
      </c>
      <c r="B37" s="18" t="str">
        <f t="shared" si="1"/>
        <v>shiyong@inspur.com;fujt@inspur.com;chenfy@inspur.com;;kangzp@inspur.com;tangjing@inspur.com;shenfh@inspur.com</v>
      </c>
      <c r="C37" s="19" t="str">
        <f t="shared" si="2"/>
        <v>云服务集团5月业务数据</v>
      </c>
      <c r="D37" s="20" t="str">
        <f t="shared" si="3"/>
        <v>李总，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37" s="56" t="str">
        <f t="shared" si="4"/>
        <v>F:\工作\3浪潮云服务\市场部\本次发送\工作表合并\党政教育行业部.xlsx</v>
      </c>
      <c r="F37" s="37" t="s">
        <v>198</v>
      </c>
      <c r="G37" s="30" t="s">
        <v>183</v>
      </c>
      <c r="H37" s="61" t="str">
        <f t="shared" si="6"/>
        <v/>
      </c>
      <c r="I37" s="61"/>
      <c r="J37" s="36"/>
      <c r="K37" s="38"/>
      <c r="L37" s="38"/>
      <c r="M37" s="38"/>
      <c r="N37" s="49" t="s">
        <v>198</v>
      </c>
      <c r="O37" s="1" t="s">
        <v>236</v>
      </c>
      <c r="P37" s="19"/>
      <c r="Q37" s="23" t="s">
        <v>249</v>
      </c>
      <c r="R37" s="19"/>
      <c r="S37" s="53" t="s">
        <v>198</v>
      </c>
      <c r="T37" s="37" t="s">
        <v>242</v>
      </c>
      <c r="U37" s="50" t="s">
        <v>281</v>
      </c>
      <c r="V37" s="19"/>
      <c r="W37" s="19">
        <v>18901155067</v>
      </c>
      <c r="X37" s="23" t="s">
        <v>254</v>
      </c>
      <c r="Y37" s="19"/>
      <c r="Z37" s="68" t="s">
        <v>198</v>
      </c>
      <c r="AA37" s="37" t="s">
        <v>211</v>
      </c>
      <c r="AB37" s="65" t="s">
        <v>183</v>
      </c>
      <c r="AC37" s="19"/>
      <c r="AD37" s="23" t="s">
        <v>227</v>
      </c>
      <c r="AE37" s="19"/>
      <c r="AF37" s="37"/>
      <c r="AG37" s="23"/>
      <c r="AH37" s="23" t="str">
        <f t="shared" si="5"/>
        <v>fujt@inspur.com;chenfy@inspur.com;</v>
      </c>
      <c r="AI37" s="35" t="s">
        <v>183</v>
      </c>
      <c r="AJ37" s="35" t="s">
        <v>183</v>
      </c>
      <c r="AK37" s="54" t="s">
        <v>198</v>
      </c>
      <c r="AL37" s="37" t="s">
        <v>311</v>
      </c>
      <c r="AM37" s="23" t="s">
        <v>312</v>
      </c>
      <c r="AN37" s="19"/>
      <c r="AO37" s="20">
        <v>18600040407</v>
      </c>
      <c r="AP37" s="37"/>
      <c r="AQ37" s="19"/>
      <c r="AR37" s="19"/>
      <c r="AS37" s="19"/>
    </row>
    <row r="38" spans="1:45" ht="15.75" hidden="1" customHeight="1" x14ac:dyDescent="0.35">
      <c r="A38" s="18" t="str">
        <f t="shared" si="0"/>
        <v>zhanglinyfw@inspur.com</v>
      </c>
      <c r="B38" s="18" t="str">
        <f t="shared" si="1"/>
        <v>hushj@inspur.com;;wangjinping@inspur.com;;kangzp@inspur.com;tangjing@inspur.com;shenfh@inspur.com</v>
      </c>
      <c r="C38" s="19" t="str">
        <f t="shared" si="2"/>
        <v>云服务集团5月业务数据</v>
      </c>
      <c r="D38" s="20" t="str">
        <f t="shared" si="3"/>
        <v>张总，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38" s="56" t="str">
        <f t="shared" si="4"/>
        <v>F:\工作\3浪潮云服务\市场部\本次发送\工作表合并\健康监管行业部.xlsx</v>
      </c>
      <c r="F38" s="37" t="s">
        <v>199</v>
      </c>
      <c r="G38" s="30" t="s">
        <v>183</v>
      </c>
      <c r="H38" s="61" t="str">
        <f t="shared" si="6"/>
        <v/>
      </c>
      <c r="I38" s="61"/>
      <c r="J38" s="36"/>
      <c r="K38" s="38"/>
      <c r="L38" s="38"/>
      <c r="M38" s="38"/>
      <c r="N38" s="49" t="s">
        <v>199</v>
      </c>
      <c r="O38" s="1" t="s">
        <v>237</v>
      </c>
      <c r="P38" s="19"/>
      <c r="Q38" s="23" t="s">
        <v>250</v>
      </c>
      <c r="R38" s="19"/>
      <c r="S38" s="53" t="s">
        <v>199</v>
      </c>
      <c r="T38" s="37" t="s">
        <v>437</v>
      </c>
      <c r="U38" s="50" t="s">
        <v>438</v>
      </c>
      <c r="V38" s="19"/>
      <c r="W38" s="19">
        <v>18600500301</v>
      </c>
      <c r="X38" s="23" t="s">
        <v>439</v>
      </c>
      <c r="Y38" s="19"/>
      <c r="Z38" s="68" t="s">
        <v>199</v>
      </c>
      <c r="AA38" s="37" t="s">
        <v>212</v>
      </c>
      <c r="AB38" s="65" t="s">
        <v>183</v>
      </c>
      <c r="AC38" s="19"/>
      <c r="AD38" s="23" t="s">
        <v>228</v>
      </c>
      <c r="AE38" s="19"/>
      <c r="AF38" s="37"/>
      <c r="AG38" s="23"/>
      <c r="AH38" s="23" t="str">
        <f t="shared" si="5"/>
        <v>;wangjinping@inspur.com;</v>
      </c>
      <c r="AI38" s="35" t="s">
        <v>183</v>
      </c>
      <c r="AJ38" s="35" t="s">
        <v>183</v>
      </c>
      <c r="AK38" s="54" t="s">
        <v>199</v>
      </c>
      <c r="AL38" s="37"/>
      <c r="AM38" s="23"/>
      <c r="AN38" s="19"/>
      <c r="AO38" s="20"/>
      <c r="AP38" s="37"/>
      <c r="AQ38" s="19"/>
      <c r="AR38" s="19"/>
      <c r="AS38" s="19"/>
    </row>
    <row r="39" spans="1:45" ht="15.75" customHeight="1" x14ac:dyDescent="0.35">
      <c r="A39" s="18" t="str">
        <f t="shared" si="0"/>
        <v>zhujiong@inspur.com</v>
      </c>
      <c r="B39" s="18" t="str">
        <f t="shared" si="1"/>
        <v>pangst@inspur.com;chenng@inspur.com;zhujiong@inspur.com;zhangxue@inspur.com;;kangzp@inspur.com;tangjing@inspur.com;shenfh@inspur.com</v>
      </c>
      <c r="C39" s="19" t="str">
        <f t="shared" si="2"/>
        <v>云服务集团5月业务数据</v>
      </c>
      <c r="D39" s="20" t="str">
        <f t="shared" si="3"/>
        <v>朱总，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39" s="56" t="str">
        <f t="shared" si="4"/>
        <v>F:\工作\3浪潮云服务\市场部\本次发送\工作表合并\能源交通行业部.xlsx</v>
      </c>
      <c r="F39" s="37" t="s">
        <v>200</v>
      </c>
      <c r="G39" s="30" t="s">
        <v>183</v>
      </c>
      <c r="H39" s="61">
        <f t="shared" si="6"/>
        <v>1</v>
      </c>
      <c r="I39" s="61"/>
      <c r="J39" s="36"/>
      <c r="K39" s="38"/>
      <c r="L39" s="38"/>
      <c r="M39" s="38"/>
      <c r="N39" s="49" t="s">
        <v>200</v>
      </c>
      <c r="O39" s="1" t="s">
        <v>238</v>
      </c>
      <c r="P39" s="19"/>
      <c r="Q39" s="23" t="s">
        <v>251</v>
      </c>
      <c r="R39" s="19"/>
      <c r="S39" s="53" t="s">
        <v>200</v>
      </c>
      <c r="T39" s="37" t="s">
        <v>433</v>
      </c>
      <c r="U39" s="50" t="s">
        <v>288</v>
      </c>
      <c r="V39" s="19"/>
      <c r="W39" s="19">
        <v>13911595951</v>
      </c>
      <c r="X39" s="23" t="s">
        <v>434</v>
      </c>
      <c r="Y39" s="19"/>
      <c r="Z39" s="68" t="s">
        <v>509</v>
      </c>
      <c r="AA39" s="37" t="s">
        <v>510</v>
      </c>
      <c r="AB39" s="65" t="s">
        <v>183</v>
      </c>
      <c r="AC39" s="19"/>
      <c r="AD39" s="23" t="s">
        <v>265</v>
      </c>
      <c r="AE39" s="19"/>
      <c r="AF39" s="37"/>
      <c r="AG39" s="23"/>
      <c r="AH39" s="23" t="str">
        <f t="shared" si="5"/>
        <v>chenng@inspur.com;zhujiong@inspur.com;zhangxue@inspur.com;</v>
      </c>
      <c r="AI39" s="35" t="s">
        <v>183</v>
      </c>
      <c r="AJ39" s="35" t="s">
        <v>183</v>
      </c>
      <c r="AK39" s="54" t="s">
        <v>200</v>
      </c>
      <c r="AL39" s="37" t="s">
        <v>264</v>
      </c>
      <c r="AM39" s="23" t="s">
        <v>267</v>
      </c>
      <c r="AN39" s="19" t="s">
        <v>268</v>
      </c>
      <c r="AO39" s="20"/>
      <c r="AP39" s="37"/>
      <c r="AQ39" s="19"/>
      <c r="AR39" s="19"/>
      <c r="AS39" s="19"/>
    </row>
    <row r="40" spans="1:45" ht="15.75" customHeight="1" x14ac:dyDescent="0.35">
      <c r="A40" s="18" t="str">
        <f t="shared" si="0"/>
        <v>zhangxinjian@inspur.com</v>
      </c>
      <c r="B40" s="18" t="str">
        <f t="shared" si="1"/>
        <v>fangwei@inspur.com;;tingzhang@inspur.com;;kangzp@inspur.com;tangjing@inspur.com;shenfh@inspur.com</v>
      </c>
      <c r="C40" s="19" t="str">
        <f t="shared" si="2"/>
        <v>云服务集团5月业务数据</v>
      </c>
      <c r="D40" s="20" t="str">
        <f t="shared" si="3"/>
        <v>张总，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40" s="56" t="str">
        <f t="shared" si="4"/>
        <v>F:\工作\3浪潮云服务\市场部\本次发送\工作表合并\特种行业部.xlsx</v>
      </c>
      <c r="F40" s="37" t="s">
        <v>201</v>
      </c>
      <c r="G40" s="30" t="s">
        <v>183</v>
      </c>
      <c r="H40" s="61">
        <f t="shared" si="6"/>
        <v>1</v>
      </c>
      <c r="I40" s="61"/>
      <c r="J40" s="36"/>
      <c r="K40" s="38"/>
      <c r="L40" s="38"/>
      <c r="M40" s="38"/>
      <c r="N40" s="49" t="s">
        <v>201</v>
      </c>
      <c r="O40" s="1" t="s">
        <v>239</v>
      </c>
      <c r="P40" s="19"/>
      <c r="Q40" s="23" t="s">
        <v>252</v>
      </c>
      <c r="R40" s="19"/>
      <c r="S40" s="53" t="s">
        <v>201</v>
      </c>
      <c r="T40" s="74" t="s">
        <v>530</v>
      </c>
      <c r="U40" s="50" t="s">
        <v>531</v>
      </c>
      <c r="V40" s="19"/>
      <c r="W40" s="19">
        <v>18660780676</v>
      </c>
      <c r="X40" s="4" t="s">
        <v>529</v>
      </c>
      <c r="Y40" s="19"/>
      <c r="Z40" s="68" t="s">
        <v>201</v>
      </c>
      <c r="AA40" s="37" t="s">
        <v>213</v>
      </c>
      <c r="AB40" s="65" t="s">
        <v>183</v>
      </c>
      <c r="AC40" s="19"/>
      <c r="AD40" s="23" t="s">
        <v>229</v>
      </c>
      <c r="AE40" s="19"/>
      <c r="AF40" s="37"/>
      <c r="AG40" s="23"/>
      <c r="AH40" s="23" t="str">
        <f t="shared" si="5"/>
        <v>;tingzhang@inspur.com;</v>
      </c>
      <c r="AI40" s="35" t="s">
        <v>183</v>
      </c>
      <c r="AJ40" s="35" t="s">
        <v>183</v>
      </c>
      <c r="AK40" s="54" t="s">
        <v>201</v>
      </c>
      <c r="AL40" s="37"/>
      <c r="AM40" s="23"/>
      <c r="AN40" s="19"/>
      <c r="AO40" s="20"/>
      <c r="AP40" s="37"/>
      <c r="AQ40" s="19"/>
      <c r="AR40" s="19"/>
      <c r="AS40" s="19"/>
    </row>
    <row r="41" spans="1:45" ht="15.75" hidden="1" customHeight="1" x14ac:dyDescent="0.35">
      <c r="A41" s="18" t="str">
        <f t="shared" si="0"/>
        <v/>
      </c>
      <c r="B41" s="18" t="str">
        <f t="shared" si="1"/>
        <v>;;sunxch@inspur.com;;kangzp@inspur.com;tangjing@inspur.com;shenfh@inspur.com</v>
      </c>
      <c r="C41" s="19" t="str">
        <f t="shared" si="2"/>
        <v>云服务集团5月业务数据</v>
      </c>
      <c r="D41" s="20" t="str">
        <f t="shared" si="3"/>
        <v>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41" s="56" t="str">
        <f t="shared" si="4"/>
        <v>F:\工作\3浪潮云服务\市场部\本次发送\工作表合并\通信行业部.xlsx</v>
      </c>
      <c r="F41" s="37" t="s">
        <v>202</v>
      </c>
      <c r="G41" s="30" t="s">
        <v>183</v>
      </c>
      <c r="H41" s="61" t="str">
        <f t="shared" si="6"/>
        <v/>
      </c>
      <c r="I41" s="61"/>
      <c r="J41" s="36"/>
      <c r="K41" s="38"/>
      <c r="L41" s="38"/>
      <c r="M41" s="38"/>
      <c r="N41" s="49" t="s">
        <v>202</v>
      </c>
      <c r="O41" s="37"/>
      <c r="P41" s="19"/>
      <c r="Q41" s="23"/>
      <c r="R41" s="19"/>
      <c r="S41" s="53" t="s">
        <v>202</v>
      </c>
      <c r="T41" s="37"/>
      <c r="U41" s="50" t="s">
        <v>183</v>
      </c>
      <c r="V41" s="19"/>
      <c r="W41" s="19"/>
      <c r="X41" s="23"/>
      <c r="Y41" s="19"/>
      <c r="Z41" s="68" t="s">
        <v>511</v>
      </c>
      <c r="AA41" s="37" t="s">
        <v>214</v>
      </c>
      <c r="AB41" s="65" t="s">
        <v>183</v>
      </c>
      <c r="AC41" s="19"/>
      <c r="AD41" s="23" t="s">
        <v>230</v>
      </c>
      <c r="AE41" s="19"/>
      <c r="AF41" s="37"/>
      <c r="AG41" s="23"/>
      <c r="AH41" s="23" t="str">
        <f t="shared" si="5"/>
        <v>;sunxch@inspur.com;</v>
      </c>
      <c r="AI41" s="35" t="s">
        <v>183</v>
      </c>
      <c r="AJ41" s="35" t="s">
        <v>183</v>
      </c>
      <c r="AK41" s="54" t="s">
        <v>202</v>
      </c>
      <c r="AL41" s="37"/>
      <c r="AM41" s="23"/>
      <c r="AN41" s="19"/>
      <c r="AO41" s="20"/>
      <c r="AP41" s="37"/>
      <c r="AQ41" s="19"/>
      <c r="AR41" s="19"/>
      <c r="AS41" s="19"/>
    </row>
    <row r="42" spans="1:45" ht="15.75" hidden="1" customHeight="1" x14ac:dyDescent="0.35">
      <c r="A42" s="18" t="str">
        <f t="shared" si="0"/>
        <v>liyz@inspur.com</v>
      </c>
      <c r="B42" s="18" t="str">
        <f t="shared" si="1"/>
        <v>suncht@inspur.com;;kanhx@inspur.com;;kangzp@inspur.com;tangjing@inspur.com;shenfh@inspur.com</v>
      </c>
      <c r="C42" s="19" t="str">
        <f t="shared" si="2"/>
        <v>云服务集团5月业务数据</v>
      </c>
      <c r="D42" s="20" t="str">
        <f t="shared" si="3"/>
        <v>李总，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42" s="56" t="str">
        <f t="shared" si="4"/>
        <v>F:\工作\3浪潮云服务\市场部\本次发送\工作表合并\金融行业部.xlsx</v>
      </c>
      <c r="F42" s="37" t="s">
        <v>203</v>
      </c>
      <c r="G42" s="30" t="s">
        <v>183</v>
      </c>
      <c r="H42" s="61" t="str">
        <f t="shared" si="6"/>
        <v/>
      </c>
      <c r="I42" s="61"/>
      <c r="J42" s="36"/>
      <c r="K42" s="38"/>
      <c r="L42" s="38"/>
      <c r="M42" s="38"/>
      <c r="N42" s="49" t="s">
        <v>203</v>
      </c>
      <c r="O42" s="37" t="s">
        <v>338</v>
      </c>
      <c r="P42" s="19"/>
      <c r="Q42" s="23" t="s">
        <v>337</v>
      </c>
      <c r="R42" s="19"/>
      <c r="S42" s="53" t="s">
        <v>203</v>
      </c>
      <c r="T42" s="37" t="s">
        <v>340</v>
      </c>
      <c r="U42" s="50" t="s">
        <v>303</v>
      </c>
      <c r="V42" s="19"/>
      <c r="W42" s="19">
        <v>13905317501</v>
      </c>
      <c r="X42" s="23" t="s">
        <v>339</v>
      </c>
      <c r="Y42" s="19"/>
      <c r="Z42" s="68" t="s">
        <v>512</v>
      </c>
      <c r="AA42" s="37" t="s">
        <v>215</v>
      </c>
      <c r="AB42" s="65" t="s">
        <v>183</v>
      </c>
      <c r="AC42" s="19"/>
      <c r="AD42" s="23" t="s">
        <v>231</v>
      </c>
      <c r="AE42" s="19"/>
      <c r="AF42" s="37"/>
      <c r="AG42" s="23"/>
      <c r="AH42" s="23" t="str">
        <f t="shared" si="5"/>
        <v>;kanhx@inspur.com;</v>
      </c>
      <c r="AI42" s="35" t="s">
        <v>183</v>
      </c>
      <c r="AJ42" s="35" t="s">
        <v>183</v>
      </c>
      <c r="AK42" s="54" t="s">
        <v>203</v>
      </c>
      <c r="AL42" s="37"/>
      <c r="AM42" s="23"/>
      <c r="AN42" s="19"/>
      <c r="AO42" s="20"/>
      <c r="AP42" s="37"/>
      <c r="AQ42" s="19"/>
      <c r="AR42" s="19"/>
      <c r="AS42" s="19"/>
    </row>
    <row r="43" spans="1:45" ht="15.75" hidden="1" customHeight="1" x14ac:dyDescent="0.35">
      <c r="A43" s="18" t="str">
        <f t="shared" si="0"/>
        <v/>
      </c>
      <c r="B43" s="18" t="str">
        <f t="shared" si="1"/>
        <v>;;li-xiaojing@inspur.com;;kangzp@inspur.com;tangjing@inspur.com;shenfh@inspur.com</v>
      </c>
      <c r="C43" s="19" t="str">
        <f t="shared" si="2"/>
        <v>云服务集团5月业务数据</v>
      </c>
      <c r="D43" s="20" t="str">
        <f t="shared" si="3"/>
        <v>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43" s="56" t="str">
        <f t="shared" si="4"/>
        <v>F:\工作\3浪潮云服务\市场部\本次发送\工作表合并\互联网行业部.xlsx</v>
      </c>
      <c r="F43" s="37" t="s">
        <v>204</v>
      </c>
      <c r="G43" s="30" t="s">
        <v>183</v>
      </c>
      <c r="H43" s="61" t="str">
        <f t="shared" si="6"/>
        <v/>
      </c>
      <c r="I43" s="61"/>
      <c r="J43" s="36"/>
      <c r="K43" s="38"/>
      <c r="L43" s="38"/>
      <c r="M43" s="38"/>
      <c r="N43" s="49" t="s">
        <v>204</v>
      </c>
      <c r="O43" s="37"/>
      <c r="P43" s="19"/>
      <c r="Q43" s="23"/>
      <c r="R43" s="19"/>
      <c r="S43" s="53" t="s">
        <v>204</v>
      </c>
      <c r="T43" s="37"/>
      <c r="U43" s="50" t="s">
        <v>183</v>
      </c>
      <c r="V43" s="19"/>
      <c r="W43" s="19"/>
      <c r="X43" s="23"/>
      <c r="Y43" s="19"/>
      <c r="Z43" s="68" t="s">
        <v>513</v>
      </c>
      <c r="AA43" s="37" t="s">
        <v>514</v>
      </c>
      <c r="AB43" s="65" t="s">
        <v>183</v>
      </c>
      <c r="AC43" s="19"/>
      <c r="AD43" s="23" t="s">
        <v>232</v>
      </c>
      <c r="AE43" s="19"/>
      <c r="AF43" s="37"/>
      <c r="AG43" s="23"/>
      <c r="AH43" s="23" t="str">
        <f t="shared" si="5"/>
        <v>;li-xiaojing@inspur.com;</v>
      </c>
      <c r="AI43" s="35" t="s">
        <v>183</v>
      </c>
      <c r="AJ43" s="35" t="s">
        <v>183</v>
      </c>
      <c r="AK43" s="54" t="s">
        <v>204</v>
      </c>
      <c r="AL43" s="37"/>
      <c r="AM43" s="23"/>
      <c r="AN43" s="19"/>
      <c r="AO43" s="20"/>
      <c r="AP43" s="37"/>
      <c r="AQ43" s="19"/>
      <c r="AR43" s="19"/>
      <c r="AS43" s="19"/>
    </row>
    <row r="44" spans="1:45" ht="15.75" hidden="1" customHeight="1" x14ac:dyDescent="0.35">
      <c r="A44" s="18" t="str">
        <f t="shared" si="0"/>
        <v>jingyx@inspur.com</v>
      </c>
      <c r="B44" s="18" t="str">
        <f t="shared" si="1"/>
        <v>huhg@inspur.com;;zhanglinjun@inspur.com;;kangzp@inspur.com;tangjing@inspur.com;shenfh@inspur.com</v>
      </c>
      <c r="C44" s="19" t="str">
        <f t="shared" si="2"/>
        <v>云服务集团5月业务数据</v>
      </c>
      <c r="D44" s="20" t="str">
        <f t="shared" si="3"/>
        <v>井总，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44" s="56" t="str">
        <f t="shared" si="4"/>
        <v>F:\工作\3浪潮云服务\市场部\本次发送\工作表合并\大企业市场部.xlsx</v>
      </c>
      <c r="F44" s="37" t="s">
        <v>315</v>
      </c>
      <c r="G44" s="30" t="s">
        <v>183</v>
      </c>
      <c r="H44" s="61" t="str">
        <f t="shared" si="6"/>
        <v/>
      </c>
      <c r="I44" s="61"/>
      <c r="J44" s="36"/>
      <c r="K44" s="38"/>
      <c r="L44" s="38"/>
      <c r="M44" s="38"/>
      <c r="N44" s="49" t="s">
        <v>315</v>
      </c>
      <c r="O44" s="37" t="s">
        <v>240</v>
      </c>
      <c r="P44" s="19"/>
      <c r="Q44" s="23" t="s">
        <v>314</v>
      </c>
      <c r="R44" s="19"/>
      <c r="S44" s="53" t="s">
        <v>315</v>
      </c>
      <c r="T44" s="37" t="s">
        <v>326</v>
      </c>
      <c r="U44" s="50" t="s">
        <v>327</v>
      </c>
      <c r="V44" s="19"/>
      <c r="W44" s="19">
        <v>13911226521</v>
      </c>
      <c r="X44" s="23" t="s">
        <v>325</v>
      </c>
      <c r="Y44" s="19"/>
      <c r="Z44" s="68" t="s">
        <v>515</v>
      </c>
      <c r="AA44" s="37" t="s">
        <v>216</v>
      </c>
      <c r="AB44" s="65" t="s">
        <v>183</v>
      </c>
      <c r="AC44" s="19"/>
      <c r="AD44" s="23" t="s">
        <v>233</v>
      </c>
      <c r="AE44" s="19"/>
      <c r="AF44" s="37"/>
      <c r="AG44" s="23"/>
      <c r="AH44" s="23" t="str">
        <f t="shared" si="5"/>
        <v>;zhanglinjun@inspur.com;</v>
      </c>
      <c r="AI44" s="35" t="s">
        <v>183</v>
      </c>
      <c r="AJ44" s="35" t="s">
        <v>183</v>
      </c>
      <c r="AK44" s="54" t="s">
        <v>315</v>
      </c>
      <c r="AL44" s="37"/>
      <c r="AM44" s="23"/>
      <c r="AN44" s="19"/>
      <c r="AO44" s="20"/>
      <c r="AP44" s="37"/>
      <c r="AQ44" s="19"/>
      <c r="AR44" s="19"/>
      <c r="AS44" s="19"/>
    </row>
    <row r="45" spans="1:45" ht="15.75" hidden="1" customHeight="1" x14ac:dyDescent="0.35">
      <c r="A45" s="18" t="str">
        <f t="shared" si="0"/>
        <v>zhengdw@inspur.com</v>
      </c>
      <c r="B45" s="18" t="str">
        <f t="shared" si="1"/>
        <v>yanggp@inspur.com;;kangzp@inspur.com;tangjing@inspur.com;shenfh@inspur.com</v>
      </c>
      <c r="C45" s="19" t="str">
        <f t="shared" si="2"/>
        <v>云服务集团5月业务数据</v>
      </c>
      <c r="D45" s="20" t="str">
        <f t="shared" si="3"/>
        <v>郑总，
      您好! 附件为贵区域/行业5月签单/回款数据、CSG业务揭示及CSG-CRM商机明细，请查阅。
      CRM商机中标黄部分为错误数据，请各MU进行纠正。如有异议及时反馈。
            云服务集团市场部</v>
      </c>
      <c r="E45" s="56" t="str">
        <f t="shared" si="4"/>
        <v>F:\工作\3浪潮云服务\市场部\本次发送\工作表合并\建筑行业部.xlsx</v>
      </c>
      <c r="F45" s="37" t="s">
        <v>411</v>
      </c>
      <c r="G45" s="39"/>
      <c r="H45" s="61" t="str">
        <f t="shared" si="6"/>
        <v/>
      </c>
      <c r="I45" s="61"/>
      <c r="J45" s="36"/>
      <c r="K45" s="38"/>
      <c r="L45" s="38"/>
      <c r="M45" s="38"/>
      <c r="N45" s="49" t="s">
        <v>411</v>
      </c>
      <c r="O45" s="37" t="s">
        <v>441</v>
      </c>
      <c r="P45" s="19"/>
      <c r="Q45" s="23" t="s">
        <v>442</v>
      </c>
      <c r="R45" s="19"/>
      <c r="S45" s="53" t="s">
        <v>411</v>
      </c>
      <c r="T45" s="37" t="s">
        <v>412</v>
      </c>
      <c r="U45" s="50" t="s">
        <v>413</v>
      </c>
      <c r="V45" s="19"/>
      <c r="W45" s="19">
        <v>18618357088</v>
      </c>
      <c r="X45" s="23" t="s">
        <v>414</v>
      </c>
      <c r="Y45" s="19"/>
      <c r="Z45" s="68"/>
      <c r="AA45" s="37"/>
      <c r="AB45" s="65" t="s">
        <v>183</v>
      </c>
      <c r="AC45" s="19"/>
      <c r="AD45" s="23"/>
      <c r="AE45" s="19"/>
      <c r="AF45" s="37"/>
      <c r="AG45" s="23"/>
      <c r="AH45" s="23"/>
      <c r="AI45" s="35"/>
      <c r="AJ45" s="35" t="s">
        <v>183</v>
      </c>
      <c r="AK45" s="54"/>
      <c r="AL45" s="37"/>
      <c r="AM45" s="23"/>
      <c r="AN45" s="19"/>
      <c r="AO45" s="20"/>
      <c r="AP45" s="37"/>
      <c r="AQ45" s="19"/>
      <c r="AR45" s="19"/>
      <c r="AS45" s="19"/>
    </row>
  </sheetData>
  <autoFilter ref="A1:AS45">
    <filterColumn colId="7">
      <customFilters>
        <customFilter operator="notEqual" val=" "/>
      </customFilters>
    </filterColumn>
  </autoFilter>
  <phoneticPr fontId="6" type="noConversion"/>
  <hyperlinks>
    <hyperlink ref="AM22" r:id="rId1"/>
    <hyperlink ref="AM39" r:id="rId2"/>
    <hyperlink ref="AG26" r:id="rId3"/>
    <hyperlink ref="AM37" r:id="rId4"/>
    <hyperlink ref="AG25" r:id="rId5"/>
    <hyperlink ref="X25" r:id="rId6"/>
    <hyperlink ref="X13" r:id="rId7"/>
    <hyperlink ref="X44" r:id="rId8"/>
    <hyperlink ref="AS22" r:id="rId9"/>
    <hyperlink ref="X19" r:id="rId10"/>
    <hyperlink ref="X21" r:id="rId11"/>
    <hyperlink ref="X42" r:id="rId12"/>
    <hyperlink ref="X16" r:id="rId13"/>
    <hyperlink ref="AM25" r:id="rId14"/>
    <hyperlink ref="X18" r:id="rId15"/>
    <hyperlink ref="X22" r:id="rId16"/>
    <hyperlink ref="AG7" r:id="rId17"/>
    <hyperlink ref="X4" r:id="rId18"/>
    <hyperlink ref="X11" r:id="rId19"/>
    <hyperlink ref="X23" r:id="rId20"/>
    <hyperlink ref="X45" r:id="rId21"/>
    <hyperlink ref="X26" r:id="rId22"/>
    <hyperlink ref="X9" r:id="rId23"/>
    <hyperlink ref="X32" r:id="rId24"/>
    <hyperlink ref="X20" r:id="rId25"/>
    <hyperlink ref="X39" r:id="rId26"/>
    <hyperlink ref="X40" r:id="rId27"/>
    <hyperlink ref="X30" r:id="rId28"/>
  </hyperlinks>
  <pageMargins left="0.7" right="0.7" top="0.75" bottom="0.75" header="0.3" footer="0.3"/>
  <pageSetup paperSize="9" orientation="portrait" r:id="rId29"/>
  <drawing r:id="rId30"/>
  <legacyDrawing r:id="rId3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1089" r:id="rId32" name="Button 1">
              <controlPr defaultSize="0" print="0" autoFill="0" autoPict="0" macro="[0]!批量发送邮件">
                <anchor moveWithCells="1">
                  <from>
                    <xdr:col>1</xdr:col>
                    <xdr:colOff>371475</xdr:colOff>
                    <xdr:row>0</xdr:row>
                    <xdr:rowOff>19050</xdr:rowOff>
                  </from>
                  <to>
                    <xdr:col>1</xdr:col>
                    <xdr:colOff>857250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9"/>
  <sheetViews>
    <sheetView workbookViewId="0">
      <selection activeCell="I1" sqref="I1:I39"/>
    </sheetView>
  </sheetViews>
  <sheetFormatPr defaultRowHeight="16.5" x14ac:dyDescent="0.15"/>
  <cols>
    <col min="1" max="1" width="10.75" style="72" customWidth="1"/>
    <col min="2" max="2" width="4.75" style="72" customWidth="1"/>
    <col min="3" max="5" width="9" style="72"/>
    <col min="6" max="6" width="15.125" style="80" bestFit="1" customWidth="1"/>
    <col min="7" max="8" width="9" style="72"/>
    <col min="9" max="9" width="14" style="72" customWidth="1"/>
    <col min="10" max="16384" width="9" style="72"/>
  </cols>
  <sheetData>
    <row r="1" spans="1:9" x14ac:dyDescent="0.15">
      <c r="A1" s="72" t="s">
        <v>102</v>
      </c>
      <c r="B1" s="72" t="s">
        <v>435</v>
      </c>
      <c r="C1" s="72" t="str">
        <f>A1&amp;_xlnm.Extract</f>
        <v>吉林区</v>
      </c>
      <c r="F1" s="80" t="s">
        <v>541</v>
      </c>
      <c r="I1" s="83" t="s">
        <v>365</v>
      </c>
    </row>
    <row r="2" spans="1:9" x14ac:dyDescent="0.15">
      <c r="A2" s="72" t="s">
        <v>109</v>
      </c>
      <c r="B2" s="72" t="s">
        <v>435</v>
      </c>
      <c r="C2" s="72" t="str">
        <f>A2&amp;_xlnm.Extract</f>
        <v>宁夏区</v>
      </c>
      <c r="F2" s="80" t="s">
        <v>315</v>
      </c>
      <c r="I2" s="72" t="s">
        <v>366</v>
      </c>
    </row>
    <row r="3" spans="1:9" x14ac:dyDescent="0.15">
      <c r="A3" s="72" t="s">
        <v>75</v>
      </c>
      <c r="B3" s="72" t="s">
        <v>435</v>
      </c>
      <c r="C3" s="72" t="str">
        <f t="shared" ref="C3:C24" si="0">A3&amp;_xlnm.Extract</f>
        <v>安徽区</v>
      </c>
      <c r="F3" s="80" t="s">
        <v>542</v>
      </c>
      <c r="I3" s="72" t="s">
        <v>367</v>
      </c>
    </row>
    <row r="4" spans="1:9" x14ac:dyDescent="0.15">
      <c r="B4" s="72" t="s">
        <v>435</v>
      </c>
      <c r="C4" s="72" t="str">
        <f>A4&amp;_xlnm.Extract</f>
        <v>区</v>
      </c>
      <c r="F4" s="80" t="s">
        <v>543</v>
      </c>
      <c r="I4" s="72" t="s">
        <v>368</v>
      </c>
    </row>
    <row r="5" spans="1:9" x14ac:dyDescent="0.15">
      <c r="B5" s="72" t="s">
        <v>435</v>
      </c>
      <c r="C5" s="72" t="str">
        <f t="shared" si="0"/>
        <v>区</v>
      </c>
      <c r="F5" s="80" t="s">
        <v>544</v>
      </c>
      <c r="I5" s="72" t="s">
        <v>369</v>
      </c>
    </row>
    <row r="6" spans="1:9" x14ac:dyDescent="0.15">
      <c r="B6" s="72" t="s">
        <v>435</v>
      </c>
      <c r="C6" s="72" t="str">
        <f t="shared" si="0"/>
        <v>区</v>
      </c>
      <c r="F6" s="80" t="s">
        <v>545</v>
      </c>
      <c r="I6" s="72" t="s">
        <v>370</v>
      </c>
    </row>
    <row r="7" spans="1:9" x14ac:dyDescent="0.15">
      <c r="B7" s="72" t="s">
        <v>435</v>
      </c>
      <c r="C7" s="72" t="str">
        <f t="shared" si="0"/>
        <v>区</v>
      </c>
      <c r="F7" s="80" t="s">
        <v>546</v>
      </c>
      <c r="I7" s="72" t="s">
        <v>371</v>
      </c>
    </row>
    <row r="8" spans="1:9" x14ac:dyDescent="0.15">
      <c r="B8" s="72" t="s">
        <v>435</v>
      </c>
      <c r="C8" s="72" t="str">
        <f t="shared" si="0"/>
        <v>区</v>
      </c>
      <c r="F8" s="80" t="s">
        <v>547</v>
      </c>
      <c r="I8" s="72" t="s">
        <v>372</v>
      </c>
    </row>
    <row r="9" spans="1:9" x14ac:dyDescent="0.15">
      <c r="B9" s="72" t="s">
        <v>435</v>
      </c>
      <c r="C9" s="72" t="str">
        <f t="shared" si="0"/>
        <v>区</v>
      </c>
      <c r="F9" s="80" t="s">
        <v>548</v>
      </c>
      <c r="I9" s="72" t="s">
        <v>373</v>
      </c>
    </row>
    <row r="10" spans="1:9" x14ac:dyDescent="0.15">
      <c r="B10" s="72" t="s">
        <v>435</v>
      </c>
      <c r="C10" s="72" t="str">
        <f t="shared" si="0"/>
        <v>区</v>
      </c>
      <c r="F10" s="80" t="s">
        <v>549</v>
      </c>
      <c r="I10" s="72" t="s">
        <v>374</v>
      </c>
    </row>
    <row r="11" spans="1:9" x14ac:dyDescent="0.15">
      <c r="B11" s="72" t="s">
        <v>435</v>
      </c>
      <c r="C11" s="72" t="str">
        <f t="shared" si="0"/>
        <v>区</v>
      </c>
      <c r="F11" s="80" t="s">
        <v>411</v>
      </c>
      <c r="I11" s="72" t="s">
        <v>375</v>
      </c>
    </row>
    <row r="12" spans="1:9" x14ac:dyDescent="0.15">
      <c r="B12" s="72" t="s">
        <v>435</v>
      </c>
      <c r="C12" s="72" t="str">
        <f t="shared" si="0"/>
        <v>区</v>
      </c>
      <c r="F12" s="80" t="s">
        <v>199</v>
      </c>
      <c r="I12" s="72" t="s">
        <v>376</v>
      </c>
    </row>
    <row r="13" spans="1:9" x14ac:dyDescent="0.15">
      <c r="B13" s="72" t="s">
        <v>435</v>
      </c>
      <c r="C13" s="72" t="str">
        <f t="shared" si="0"/>
        <v>区</v>
      </c>
      <c r="F13" s="80" t="s">
        <v>550</v>
      </c>
      <c r="I13" s="72" t="s">
        <v>377</v>
      </c>
    </row>
    <row r="14" spans="1:9" x14ac:dyDescent="0.15">
      <c r="B14" s="72" t="s">
        <v>435</v>
      </c>
      <c r="C14" s="72" t="str">
        <f t="shared" si="0"/>
        <v>区</v>
      </c>
      <c r="F14" s="80" t="s">
        <v>512</v>
      </c>
      <c r="I14" s="72" t="s">
        <v>378</v>
      </c>
    </row>
    <row r="15" spans="1:9" x14ac:dyDescent="0.15">
      <c r="B15" s="72" t="s">
        <v>435</v>
      </c>
      <c r="C15" s="72" t="str">
        <f t="shared" si="0"/>
        <v>区</v>
      </c>
      <c r="F15" s="80" t="s">
        <v>551</v>
      </c>
      <c r="I15" s="72" t="s">
        <v>379</v>
      </c>
    </row>
    <row r="16" spans="1:9" x14ac:dyDescent="0.15">
      <c r="B16" s="72" t="s">
        <v>435</v>
      </c>
      <c r="C16" s="72" t="str">
        <f t="shared" si="0"/>
        <v>区</v>
      </c>
      <c r="F16" s="80" t="s">
        <v>538</v>
      </c>
      <c r="I16" s="72" t="s">
        <v>380</v>
      </c>
    </row>
    <row r="17" spans="2:9" x14ac:dyDescent="0.15">
      <c r="B17" s="72" t="s">
        <v>435</v>
      </c>
      <c r="C17" s="72" t="str">
        <f t="shared" si="0"/>
        <v>区</v>
      </c>
      <c r="F17" s="80" t="s">
        <v>552</v>
      </c>
      <c r="I17" s="72" t="s">
        <v>381</v>
      </c>
    </row>
    <row r="18" spans="2:9" x14ac:dyDescent="0.15">
      <c r="B18" s="72" t="s">
        <v>435</v>
      </c>
      <c r="C18" s="72" t="str">
        <f t="shared" si="0"/>
        <v>区</v>
      </c>
      <c r="F18" s="80" t="s">
        <v>553</v>
      </c>
      <c r="I18" s="72" t="s">
        <v>382</v>
      </c>
    </row>
    <row r="19" spans="2:9" x14ac:dyDescent="0.15">
      <c r="B19" s="72" t="s">
        <v>435</v>
      </c>
      <c r="C19" s="72" t="str">
        <f t="shared" si="0"/>
        <v>区</v>
      </c>
      <c r="F19" s="80" t="s">
        <v>554</v>
      </c>
      <c r="I19" s="72" t="s">
        <v>383</v>
      </c>
    </row>
    <row r="20" spans="2:9" x14ac:dyDescent="0.15">
      <c r="B20" s="72" t="s">
        <v>435</v>
      </c>
      <c r="C20" s="72" t="str">
        <f t="shared" si="0"/>
        <v>区</v>
      </c>
      <c r="F20" s="80" t="s">
        <v>555</v>
      </c>
      <c r="I20" s="72" t="s">
        <v>384</v>
      </c>
    </row>
    <row r="21" spans="2:9" x14ac:dyDescent="0.15">
      <c r="B21" s="72" t="s">
        <v>435</v>
      </c>
      <c r="C21" s="72" t="str">
        <f t="shared" si="0"/>
        <v>区</v>
      </c>
      <c r="F21" s="80" t="s">
        <v>556</v>
      </c>
      <c r="I21" s="72" t="s">
        <v>385</v>
      </c>
    </row>
    <row r="22" spans="2:9" x14ac:dyDescent="0.15">
      <c r="B22" s="72" t="s">
        <v>435</v>
      </c>
      <c r="C22" s="72" t="str">
        <f t="shared" si="0"/>
        <v>区</v>
      </c>
      <c r="F22" s="80" t="s">
        <v>557</v>
      </c>
      <c r="I22" s="72" t="s">
        <v>386</v>
      </c>
    </row>
    <row r="23" spans="2:9" x14ac:dyDescent="0.15">
      <c r="B23" s="72" t="s">
        <v>435</v>
      </c>
      <c r="C23" s="72" t="str">
        <f t="shared" si="0"/>
        <v>区</v>
      </c>
      <c r="F23" s="80" t="s">
        <v>558</v>
      </c>
      <c r="I23" s="72" t="s">
        <v>387</v>
      </c>
    </row>
    <row r="24" spans="2:9" x14ac:dyDescent="0.15">
      <c r="B24" s="72" t="s">
        <v>435</v>
      </c>
      <c r="C24" s="72" t="str">
        <f t="shared" si="0"/>
        <v>区</v>
      </c>
      <c r="F24" s="80" t="s">
        <v>559</v>
      </c>
      <c r="I24" s="72" t="s">
        <v>388</v>
      </c>
    </row>
    <row r="25" spans="2:9" x14ac:dyDescent="0.15">
      <c r="I25" s="72" t="s">
        <v>389</v>
      </c>
    </row>
    <row r="26" spans="2:9" x14ac:dyDescent="0.15">
      <c r="I26" s="72" t="s">
        <v>390</v>
      </c>
    </row>
    <row r="27" spans="2:9" x14ac:dyDescent="0.15">
      <c r="I27" s="72" t="s">
        <v>391</v>
      </c>
    </row>
    <row r="28" spans="2:9" x14ac:dyDescent="0.15">
      <c r="I28" s="72" t="s">
        <v>392</v>
      </c>
    </row>
    <row r="29" spans="2:9" x14ac:dyDescent="0.15">
      <c r="I29" s="72" t="s">
        <v>393</v>
      </c>
    </row>
    <row r="30" spans="2:9" x14ac:dyDescent="0.15">
      <c r="I30" s="72" t="s">
        <v>394</v>
      </c>
    </row>
    <row r="31" spans="2:9" x14ac:dyDescent="0.15">
      <c r="I31" s="72" t="s">
        <v>395</v>
      </c>
    </row>
    <row r="32" spans="2:9" x14ac:dyDescent="0.15">
      <c r="I32" s="72" t="s">
        <v>563</v>
      </c>
    </row>
    <row r="33" spans="9:9" x14ac:dyDescent="0.15">
      <c r="I33" s="72" t="s">
        <v>574</v>
      </c>
    </row>
    <row r="34" spans="9:9" x14ac:dyDescent="0.15">
      <c r="I34" s="72" t="s">
        <v>336</v>
      </c>
    </row>
    <row r="35" spans="9:9" x14ac:dyDescent="0.15">
      <c r="I35" s="72" t="s">
        <v>575</v>
      </c>
    </row>
    <row r="36" spans="9:9" x14ac:dyDescent="0.15">
      <c r="I36" s="72" t="s">
        <v>203</v>
      </c>
    </row>
    <row r="37" spans="9:9" x14ac:dyDescent="0.15">
      <c r="I37" s="72" t="s">
        <v>564</v>
      </c>
    </row>
    <row r="38" spans="9:9" x14ac:dyDescent="0.15">
      <c r="I38" s="72" t="s">
        <v>440</v>
      </c>
    </row>
    <row r="39" spans="9:9" x14ac:dyDescent="0.15">
      <c r="I39" s="72" t="s">
        <v>576</v>
      </c>
    </row>
  </sheetData>
  <phoneticPr fontId="6" type="noConversion"/>
  <dataValidations count="1">
    <dataValidation type="list" allowBlank="1" showInputMessage="1" showErrorMessage="1" sqref="A7">
      <formula1>#REF!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S26"/>
  <sheetViews>
    <sheetView showGridLines="0" zoomScale="90" zoomScaleNormal="9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L7" sqref="L7"/>
    </sheetView>
  </sheetViews>
  <sheetFormatPr defaultRowHeight="15.75" customHeight="1" outlineLevelCol="1" x14ac:dyDescent="0.15"/>
  <cols>
    <col min="1" max="1" width="8.125" style="24" customWidth="1"/>
    <col min="2" max="2" width="12.125" style="24" customWidth="1"/>
    <col min="3" max="3" width="4.25" style="26" customWidth="1"/>
    <col min="4" max="4" width="5.125" style="26" customWidth="1"/>
    <col min="5" max="5" width="11.5" style="24" customWidth="1"/>
    <col min="6" max="6" width="7.5" style="29" customWidth="1"/>
    <col min="7" max="7" width="3.875" style="40" customWidth="1"/>
    <col min="8" max="8" width="2.625" style="40" customWidth="1"/>
    <col min="9" max="9" width="7.625" style="40" customWidth="1"/>
    <col min="10" max="10" width="4.875" style="40" customWidth="1"/>
    <col min="11" max="11" width="5" style="26" customWidth="1"/>
    <col min="12" max="12" width="4.25" style="26" customWidth="1"/>
    <col min="13" max="13" width="7.75" style="26" customWidth="1"/>
    <col min="14" max="14" width="4.5" style="41" customWidth="1"/>
    <col min="15" max="15" width="6.375" style="29" customWidth="1"/>
    <col min="16" max="16" width="15.875" style="26" hidden="1" customWidth="1"/>
    <col min="17" max="17" width="5.25" style="42" customWidth="1"/>
    <col min="18" max="18" width="10.75" style="26" hidden="1" customWidth="1"/>
    <col min="19" max="19" width="4.5" style="43" customWidth="1"/>
    <col min="20" max="20" width="5.5" style="29" customWidth="1"/>
    <col min="21" max="21" width="5.75" style="26" customWidth="1"/>
    <col min="22" max="22" width="3.25" style="26" hidden="1" customWidth="1"/>
    <col min="23" max="23" width="11.625" style="26" customWidth="1"/>
    <col min="24" max="24" width="4.625" style="25" customWidth="1"/>
    <col min="25" max="25" width="12" style="26" hidden="1" customWidth="1"/>
    <col min="26" max="26" width="5.25" style="24" customWidth="1"/>
    <col min="27" max="27" width="8" style="26" customWidth="1"/>
    <col min="28" max="28" width="7.25" style="26" hidden="1" customWidth="1"/>
    <col min="29" max="29" width="12.25" style="26" hidden="1" customWidth="1"/>
    <col min="30" max="30" width="5.125" style="25" customWidth="1"/>
    <col min="31" max="31" width="8.25" style="26" hidden="1" customWidth="1"/>
    <col min="32" max="32" width="7" style="26" customWidth="1" outlineLevel="1"/>
    <col min="33" max="33" width="3.875" style="25" customWidth="1" outlineLevel="1"/>
    <col min="34" max="34" width="5.125" style="25" customWidth="1" outlineLevel="1"/>
    <col min="35" max="35" width="3.5" style="26" customWidth="1" outlineLevel="1"/>
    <col min="36" max="36" width="2.75" style="26" customWidth="1" outlineLevel="1"/>
    <col min="37" max="37" width="10.875" style="26" customWidth="1" outlineLevel="1"/>
    <col min="38" max="38" width="7.75" style="29" customWidth="1" outlineLevel="1"/>
    <col min="39" max="39" width="5.625" style="25" customWidth="1" outlineLevel="1"/>
    <col min="40" max="40" width="7.5" style="26" customWidth="1" outlineLevel="1"/>
    <col min="41" max="41" width="12.875" style="43" customWidth="1" outlineLevel="1"/>
    <col min="42" max="42" width="6.25" style="26" customWidth="1" outlineLevel="1"/>
    <col min="43" max="43" width="7" style="26" customWidth="1" outlineLevel="1"/>
    <col min="44" max="44" width="14.5" style="26" customWidth="1" outlineLevel="1"/>
    <col min="45" max="45" width="9" style="26" customWidth="1" outlineLevel="1"/>
    <col min="46" max="16384" width="9" style="26"/>
  </cols>
  <sheetData>
    <row r="1" spans="1:45" s="29" customFormat="1" ht="15.75" customHeight="1" x14ac:dyDescent="0.35">
      <c r="A1" s="66" t="s">
        <v>3</v>
      </c>
      <c r="B1" s="66" t="s">
        <v>4</v>
      </c>
      <c r="C1" s="14" t="s">
        <v>0</v>
      </c>
      <c r="D1" s="14" t="s">
        <v>1</v>
      </c>
      <c r="E1" s="66" t="s">
        <v>2</v>
      </c>
      <c r="F1" s="14" t="s">
        <v>6</v>
      </c>
      <c r="G1" s="14"/>
      <c r="H1" s="14" t="s">
        <v>188</v>
      </c>
      <c r="I1" s="14" t="s">
        <v>271</v>
      </c>
      <c r="J1" s="14" t="s">
        <v>0</v>
      </c>
      <c r="K1" s="14" t="s">
        <v>245</v>
      </c>
      <c r="L1" s="14" t="s">
        <v>290</v>
      </c>
      <c r="M1" s="14" t="s">
        <v>291</v>
      </c>
      <c r="N1" s="10" t="s">
        <v>113</v>
      </c>
      <c r="O1" s="10" t="s">
        <v>158</v>
      </c>
      <c r="P1" s="11" t="s">
        <v>8</v>
      </c>
      <c r="Q1" s="12" t="s">
        <v>244</v>
      </c>
      <c r="R1" s="10" t="s">
        <v>9</v>
      </c>
      <c r="S1" s="51" t="s">
        <v>140</v>
      </c>
      <c r="T1" s="13" t="s">
        <v>156</v>
      </c>
      <c r="U1" s="13" t="s">
        <v>273</v>
      </c>
      <c r="V1" s="13" t="s">
        <v>141</v>
      </c>
      <c r="W1" s="13" t="s">
        <v>63</v>
      </c>
      <c r="X1" s="44" t="s">
        <v>142</v>
      </c>
      <c r="Y1" s="13" t="s">
        <v>9</v>
      </c>
      <c r="Z1" s="66" t="s">
        <v>5</v>
      </c>
      <c r="AA1" s="14" t="s">
        <v>157</v>
      </c>
      <c r="AB1" s="14" t="s">
        <v>62</v>
      </c>
      <c r="AC1" s="14" t="s">
        <v>63</v>
      </c>
      <c r="AD1" s="55" t="s">
        <v>64</v>
      </c>
      <c r="AE1" s="14" t="s">
        <v>159</v>
      </c>
      <c r="AF1" s="14" t="s">
        <v>243</v>
      </c>
      <c r="AG1" s="55" t="s">
        <v>244</v>
      </c>
      <c r="AH1" s="55" t="s">
        <v>269</v>
      </c>
      <c r="AI1" s="27" t="s">
        <v>183</v>
      </c>
      <c r="AJ1" s="14"/>
      <c r="AK1" s="14" t="s">
        <v>5</v>
      </c>
      <c r="AL1" s="14" t="s">
        <v>259</v>
      </c>
      <c r="AM1" s="55" t="s">
        <v>244</v>
      </c>
      <c r="AN1" s="14" t="s">
        <v>159</v>
      </c>
      <c r="AO1" s="28" t="s">
        <v>301</v>
      </c>
      <c r="AP1" s="14"/>
      <c r="AQ1" s="14"/>
      <c r="AR1" s="14"/>
      <c r="AS1" s="14"/>
    </row>
    <row r="2" spans="1:45" ht="15.75" customHeight="1" x14ac:dyDescent="0.35">
      <c r="A2" s="15" t="str">
        <f t="shared" ref="A2:A26" si="0">IF(ISBLANK(X2),"",X2)</f>
        <v>shenfh@inspur.com</v>
      </c>
      <c r="B2" s="15" t="str">
        <f>Q2&amp;$L$2&amp;AH2</f>
        <v>shenfh@inspur.com;;shenfh@inspur.com;</v>
      </c>
      <c r="C2" s="16" t="str">
        <f>$J$2</f>
        <v>云服务集团周报数据</v>
      </c>
      <c r="D2" s="17" t="str">
        <f>U2&amp;$M$2</f>
        <v>A总，
      您好! 附件为贵单位本周的签单/回款数据，请查阅。如有异议及时反馈。
            云服务集团市场部</v>
      </c>
      <c r="E2" s="15" t="str">
        <f>"F:\工作\3浪潮云服务\市场部\本次发送\工作表合并\"&amp;F2&amp;".xlsx"</f>
        <v>F:\工作\3浪潮云服务\市场部\本次发送\工作表合并\测试.xlsx</v>
      </c>
      <c r="F2" s="57" t="s">
        <v>7</v>
      </c>
      <c r="G2" s="30" t="s">
        <v>183</v>
      </c>
      <c r="H2" s="60">
        <v>1</v>
      </c>
      <c r="I2" s="60"/>
      <c r="J2" s="31" t="s">
        <v>432</v>
      </c>
      <c r="K2" t="s">
        <v>562</v>
      </c>
      <c r="L2" s="16" t="s">
        <v>560</v>
      </c>
      <c r="M2" s="32" t="s">
        <v>561</v>
      </c>
      <c r="N2" s="5" t="s">
        <v>174</v>
      </c>
      <c r="O2" s="6" t="s">
        <v>184</v>
      </c>
      <c r="P2" s="7">
        <v>15589965595</v>
      </c>
      <c r="Q2" s="25" t="s">
        <v>299</v>
      </c>
      <c r="R2" s="6"/>
      <c r="S2" s="52"/>
      <c r="T2" s="9" t="s">
        <v>186</v>
      </c>
      <c r="U2" s="9" t="s">
        <v>274</v>
      </c>
      <c r="V2" s="8"/>
      <c r="W2" s="45">
        <v>15589965595</v>
      </c>
      <c r="X2" s="45" t="s">
        <v>299</v>
      </c>
      <c r="Y2" s="9"/>
      <c r="Z2" s="67"/>
      <c r="AA2" s="33" t="s">
        <v>185</v>
      </c>
      <c r="AB2" s="62" t="s">
        <v>183</v>
      </c>
      <c r="AC2" s="33">
        <v>15589965595</v>
      </c>
      <c r="AD2" s="23" t="s">
        <v>299</v>
      </c>
      <c r="AE2" s="34"/>
      <c r="AF2" s="63" t="s">
        <v>183</v>
      </c>
      <c r="AG2" s="56"/>
      <c r="AH2" s="56" t="str">
        <f>AM2&amp;";"&amp;AD2&amp;";"&amp;AG2</f>
        <v>;shenfh@inspur.com;</v>
      </c>
      <c r="AI2" s="35" t="s">
        <v>183</v>
      </c>
      <c r="AJ2" s="35" t="s">
        <v>183</v>
      </c>
      <c r="AK2" s="58"/>
      <c r="AL2" s="37"/>
      <c r="AM2" s="23"/>
      <c r="AN2" s="19"/>
      <c r="AO2" s="20"/>
      <c r="AP2" s="19"/>
      <c r="AQ2" s="19"/>
      <c r="AR2" s="19"/>
      <c r="AS2" s="19"/>
    </row>
    <row r="3" spans="1:45" ht="16.5" customHeight="1" x14ac:dyDescent="0.35">
      <c r="A3" s="18" t="str">
        <f t="shared" si="0"/>
        <v>zhaoww@inspur.com</v>
      </c>
      <c r="B3" s="18" t="str">
        <f t="shared" ref="B3:B26" si="1">Q3&amp;$L$2&amp;AH3&amp;$L$2&amp;$K$2</f>
        <v>zhangge@inspur.com;;zhuln@inspur.com;;kangzp@inspur.com;tangjing@inspur.com;</v>
      </c>
      <c r="C3" s="19" t="str">
        <f t="shared" ref="C3:C26" si="2">$J$2</f>
        <v>云服务集团周报数据</v>
      </c>
      <c r="D3" s="20" t="str">
        <f t="shared" ref="D3:D26" si="3">U3&amp;$M$2</f>
        <v>赵总，
      您好! 附件为贵单位本周的签单/回款数据，请查阅。如有异议及时反馈。
            云服务集团市场部</v>
      </c>
      <c r="E3" s="15" t="str">
        <f t="shared" ref="E3:E26" si="4">"F:\工作\3浪潮云服务\市场部\本次发送\工作表合并\"&amp;F3&amp;".xlsx"</f>
        <v>F:\工作\3浪潮云服务\市场部\本次发送\工作表合并\山东区.xlsx</v>
      </c>
      <c r="F3" s="69" t="s">
        <v>365</v>
      </c>
      <c r="G3" s="30"/>
      <c r="H3" s="61">
        <v>1</v>
      </c>
      <c r="I3" s="61"/>
      <c r="J3" s="36"/>
      <c r="M3" s="59" t="s">
        <v>318</v>
      </c>
      <c r="N3" s="46" t="s">
        <v>65</v>
      </c>
      <c r="O3" s="1" t="s">
        <v>40</v>
      </c>
      <c r="P3" s="1">
        <v>13305319906</v>
      </c>
      <c r="Q3" s="23" t="s">
        <v>41</v>
      </c>
      <c r="R3" s="21"/>
      <c r="S3" s="53" t="s">
        <v>270</v>
      </c>
      <c r="T3" s="37" t="s">
        <v>150</v>
      </c>
      <c r="U3" s="50" t="s">
        <v>275</v>
      </c>
      <c r="V3" s="19" t="s">
        <v>165</v>
      </c>
      <c r="W3" s="19">
        <v>15805316658</v>
      </c>
      <c r="X3" s="23" t="s">
        <v>304</v>
      </c>
      <c r="Y3" s="19"/>
      <c r="Z3" s="68" t="s">
        <v>270</v>
      </c>
      <c r="AA3" s="37" t="s">
        <v>444</v>
      </c>
      <c r="AB3" s="19" t="s">
        <v>66</v>
      </c>
      <c r="AC3" s="19">
        <v>18905310812</v>
      </c>
      <c r="AD3" s="23" t="s">
        <v>175</v>
      </c>
      <c r="AE3" s="19"/>
      <c r="AF3" s="64" t="s">
        <v>183</v>
      </c>
      <c r="AG3" s="23"/>
      <c r="AH3" s="23" t="str">
        <f t="shared" ref="AH3:AH25" si="5">AM3&amp;";"&amp;AD3&amp;";"&amp;AG3</f>
        <v>;zhuln@inspur.com;</v>
      </c>
      <c r="AI3" s="35" t="s">
        <v>183</v>
      </c>
      <c r="AJ3" s="35" t="s">
        <v>183</v>
      </c>
      <c r="AK3" s="54" t="s">
        <v>65</v>
      </c>
      <c r="AL3" s="37"/>
      <c r="AM3" s="23"/>
      <c r="AN3" s="19"/>
      <c r="AO3" s="20"/>
      <c r="AP3" s="37" t="s">
        <v>190</v>
      </c>
      <c r="AQ3" s="19" t="s">
        <v>217</v>
      </c>
      <c r="AR3" s="19"/>
      <c r="AS3" s="19"/>
    </row>
    <row r="4" spans="1:45" ht="15" customHeight="1" x14ac:dyDescent="0.35">
      <c r="A4" s="18" t="str">
        <f t="shared" si="0"/>
        <v>yangxubin@inspur.com</v>
      </c>
      <c r="B4" s="18" t="str">
        <f t="shared" si="1"/>
        <v>sunhb@inspur.com;;siyj@inspur.com;xuwenjun@inspur.com;kangzp@inspur.com;tangjing@inspur.com;</v>
      </c>
      <c r="C4" s="19" t="str">
        <f t="shared" si="2"/>
        <v>云服务集团周报数据</v>
      </c>
      <c r="D4" s="20" t="str">
        <f t="shared" si="3"/>
        <v>杨总，
      您好! 附件为贵单位本周的签单/回款数据，请查阅。如有异议及时反馈。
            云服务集团市场部</v>
      </c>
      <c r="E4" s="56" t="str">
        <f t="shared" si="4"/>
        <v>F:\工作\3浪潮云服务\市场部\本次发送\工作表合并\广东区.xlsx</v>
      </c>
      <c r="F4" s="70" t="s">
        <v>366</v>
      </c>
      <c r="G4" s="30"/>
      <c r="H4" s="61">
        <v>1</v>
      </c>
      <c r="I4" s="78" t="s">
        <v>371</v>
      </c>
      <c r="J4" s="36"/>
      <c r="M4" s="59" t="s">
        <v>317</v>
      </c>
      <c r="N4" s="46" t="s">
        <v>67</v>
      </c>
      <c r="O4" s="1" t="s">
        <v>14</v>
      </c>
      <c r="P4" s="1">
        <v>13705316901</v>
      </c>
      <c r="Q4" s="23" t="s">
        <v>15</v>
      </c>
      <c r="R4" s="21"/>
      <c r="S4" s="53" t="s">
        <v>445</v>
      </c>
      <c r="T4" s="37" t="s">
        <v>402</v>
      </c>
      <c r="U4" s="50" t="s">
        <v>316</v>
      </c>
      <c r="V4" s="19"/>
      <c r="W4" s="19">
        <v>13332883876</v>
      </c>
      <c r="X4" s="23" t="s">
        <v>401</v>
      </c>
      <c r="Y4" s="19"/>
      <c r="Z4" s="68" t="s">
        <v>445</v>
      </c>
      <c r="AA4" s="37" t="s">
        <v>446</v>
      </c>
      <c r="AB4" s="19" t="s">
        <v>68</v>
      </c>
      <c r="AC4" s="19">
        <v>13711668336</v>
      </c>
      <c r="AD4" s="23" t="s">
        <v>69</v>
      </c>
      <c r="AE4" s="19"/>
      <c r="AF4" s="37" t="s">
        <v>191</v>
      </c>
      <c r="AG4" s="23" t="s">
        <v>218</v>
      </c>
      <c r="AH4" s="23" t="str">
        <f t="shared" si="5"/>
        <v>;siyj@inspur.com;xuwenjun@inspur.com</v>
      </c>
      <c r="AI4" s="35" t="s">
        <v>183</v>
      </c>
      <c r="AJ4" s="35" t="s">
        <v>183</v>
      </c>
      <c r="AK4" s="54" t="s">
        <v>67</v>
      </c>
      <c r="AL4" s="37"/>
      <c r="AM4" s="23"/>
      <c r="AN4" s="19"/>
      <c r="AO4" s="20"/>
      <c r="AP4" s="37"/>
      <c r="AQ4" s="19"/>
      <c r="AR4" s="19"/>
      <c r="AS4" s="19"/>
    </row>
    <row r="5" spans="1:45" ht="15.75" customHeight="1" x14ac:dyDescent="0.35">
      <c r="A5" s="18" t="str">
        <f t="shared" si="0"/>
        <v>weichy@inspur.com</v>
      </c>
      <c r="B5" s="18" t="str">
        <f t="shared" si="1"/>
        <v>zhangyongli@inspur.com;;suyj@inspur.com;;kangzp@inspur.com;tangjing@inspur.com;</v>
      </c>
      <c r="C5" s="19" t="str">
        <f t="shared" si="2"/>
        <v>云服务集团周报数据</v>
      </c>
      <c r="D5" s="20" t="str">
        <f t="shared" si="3"/>
        <v>魏总，
      您好! 附件为贵单位本周的签单/回款数据，请查阅。如有异议及时反馈。
            云服务集团市场部</v>
      </c>
      <c r="E5" s="56" t="str">
        <f t="shared" si="4"/>
        <v>F:\工作\3浪潮云服务\市场部\本次发送\工作表合并\河南区.xlsx</v>
      </c>
      <c r="F5" s="70" t="s">
        <v>370</v>
      </c>
      <c r="G5" s="30"/>
      <c r="H5" s="61">
        <v>1</v>
      </c>
      <c r="I5" s="61" t="s">
        <v>366</v>
      </c>
      <c r="J5" s="36"/>
      <c r="N5" s="46" t="s">
        <v>72</v>
      </c>
      <c r="O5" s="1" t="s">
        <v>58</v>
      </c>
      <c r="P5" s="1">
        <v>18866808217</v>
      </c>
      <c r="Q5" s="23" t="s">
        <v>59</v>
      </c>
      <c r="R5" s="21"/>
      <c r="S5" s="53" t="s">
        <v>136</v>
      </c>
      <c r="T5" s="37" t="s">
        <v>152</v>
      </c>
      <c r="U5" s="50" t="s">
        <v>277</v>
      </c>
      <c r="V5" s="19"/>
      <c r="W5" s="19">
        <v>13605319537</v>
      </c>
      <c r="X5" s="23" t="s">
        <v>168</v>
      </c>
      <c r="Y5" s="19"/>
      <c r="Z5" s="68" t="s">
        <v>136</v>
      </c>
      <c r="AA5" s="37" t="s">
        <v>454</v>
      </c>
      <c r="AB5" s="19" t="s">
        <v>73</v>
      </c>
      <c r="AC5" s="19">
        <v>13343823810</v>
      </c>
      <c r="AD5" s="23" t="s">
        <v>178</v>
      </c>
      <c r="AE5" s="19"/>
      <c r="AF5" s="37"/>
      <c r="AG5" s="23" t="s">
        <v>183</v>
      </c>
      <c r="AH5" s="23" t="str">
        <f t="shared" si="5"/>
        <v>;suyj@inspur.com;</v>
      </c>
      <c r="AI5" s="35" t="s">
        <v>183</v>
      </c>
      <c r="AJ5" s="35" t="s">
        <v>183</v>
      </c>
      <c r="AK5" s="54" t="s">
        <v>136</v>
      </c>
      <c r="AL5" s="37"/>
      <c r="AM5" s="23"/>
      <c r="AN5" s="19"/>
      <c r="AO5" s="20"/>
      <c r="AP5" s="37"/>
      <c r="AQ5" s="19"/>
      <c r="AR5" s="19"/>
      <c r="AS5" s="19"/>
    </row>
    <row r="6" spans="1:45" ht="15.75" customHeight="1" x14ac:dyDescent="0.35">
      <c r="A6" s="18" t="str">
        <f t="shared" si="0"/>
        <v>yangyang1@inspur.com</v>
      </c>
      <c r="B6" s="18" t="str">
        <f t="shared" si="1"/>
        <v>chenglm@inspur.com;;hongyuan@inspur.com;;kangzp@inspur.com;tangjing@inspur.com;</v>
      </c>
      <c r="C6" s="19" t="str">
        <f t="shared" si="2"/>
        <v>云服务集团周报数据</v>
      </c>
      <c r="D6" s="20" t="str">
        <f t="shared" si="3"/>
        <v>杨总，
      您好! 附件为贵单位本周的签单/回款数据，请查阅。如有异议及时反馈。
            云服务集团市场部</v>
      </c>
      <c r="E6" s="56" t="str">
        <f t="shared" si="4"/>
        <v>F:\工作\3浪潮云服务\市场部\本次发送\工作表合并\安徽区.xlsx</v>
      </c>
      <c r="F6" s="70" t="s">
        <v>371</v>
      </c>
      <c r="G6" s="30"/>
      <c r="H6" s="61">
        <v>1</v>
      </c>
      <c r="I6" s="61" t="s">
        <v>386</v>
      </c>
      <c r="J6" s="36"/>
      <c r="N6" s="46" t="s">
        <v>75</v>
      </c>
      <c r="O6" s="1" t="s">
        <v>10</v>
      </c>
      <c r="P6" s="1">
        <v>13349090001</v>
      </c>
      <c r="Q6" s="23" t="s">
        <v>11</v>
      </c>
      <c r="R6" s="21"/>
      <c r="S6" s="53" t="s">
        <v>135</v>
      </c>
      <c r="T6" s="37" t="s">
        <v>423</v>
      </c>
      <c r="U6" s="50" t="s">
        <v>316</v>
      </c>
      <c r="V6" s="19"/>
      <c r="W6" s="19">
        <v>18956068989</v>
      </c>
      <c r="X6" s="23" t="s">
        <v>425</v>
      </c>
      <c r="Y6" s="19"/>
      <c r="Z6" s="68" t="s">
        <v>135</v>
      </c>
      <c r="AA6" s="37" t="s">
        <v>457</v>
      </c>
      <c r="AB6" s="19" t="s">
        <v>66</v>
      </c>
      <c r="AC6" s="19">
        <v>15656054271</v>
      </c>
      <c r="AD6" s="23" t="s">
        <v>76</v>
      </c>
      <c r="AE6" s="19"/>
      <c r="AF6" s="37"/>
      <c r="AG6" s="23" t="s">
        <v>183</v>
      </c>
      <c r="AH6" s="23" t="str">
        <f t="shared" si="5"/>
        <v>;hongyuan@inspur.com;</v>
      </c>
      <c r="AI6" s="35" t="s">
        <v>183</v>
      </c>
      <c r="AJ6" s="35" t="s">
        <v>183</v>
      </c>
      <c r="AK6" s="54" t="s">
        <v>135</v>
      </c>
      <c r="AL6" s="37"/>
      <c r="AM6" s="23"/>
      <c r="AN6" s="19"/>
      <c r="AO6" s="20"/>
      <c r="AP6" s="37"/>
      <c r="AQ6" s="19"/>
      <c r="AR6" s="19"/>
      <c r="AS6" s="19"/>
    </row>
    <row r="7" spans="1:45" ht="15.75" customHeight="1" x14ac:dyDescent="0.35">
      <c r="A7" s="18" t="str">
        <f t="shared" si="0"/>
        <v>tuhua@inspur.com</v>
      </c>
      <c r="B7" s="18" t="str">
        <f t="shared" si="1"/>
        <v>hujun@inspur.com;;liuff@inspur.com;liaoc@inspur.com;kangzp@inspur.com;tangjing@inspur.com;</v>
      </c>
      <c r="C7" s="19" t="str">
        <f t="shared" si="2"/>
        <v>云服务集团周报数据</v>
      </c>
      <c r="D7" s="20" t="str">
        <f t="shared" si="3"/>
        <v>涂总，
      您好! 附件为贵单位本周的签单/回款数据，请查阅。如有异议及时反馈。
            云服务集团市场部</v>
      </c>
      <c r="E7" s="56" t="str">
        <f t="shared" si="4"/>
        <v>F:\工作\3浪潮云服务\市场部\本次发送\工作表合并\湖北区.xlsx</v>
      </c>
      <c r="F7" s="70" t="s">
        <v>372</v>
      </c>
      <c r="G7" s="30"/>
      <c r="H7" s="61">
        <v>1</v>
      </c>
      <c r="I7" s="61" t="s">
        <v>389</v>
      </c>
      <c r="J7" s="36"/>
      <c r="N7" s="46" t="s">
        <v>74</v>
      </c>
      <c r="O7" s="1" t="s">
        <v>26</v>
      </c>
      <c r="P7" s="1">
        <v>13387554488</v>
      </c>
      <c r="Q7" s="23" t="s">
        <v>27</v>
      </c>
      <c r="R7" s="21"/>
      <c r="S7" s="53" t="s">
        <v>134</v>
      </c>
      <c r="T7" s="37" t="s">
        <v>153</v>
      </c>
      <c r="U7" s="50" t="s">
        <v>278</v>
      </c>
      <c r="V7" s="19"/>
      <c r="W7" s="19">
        <v>18627079899</v>
      </c>
      <c r="X7" s="23" t="s">
        <v>306</v>
      </c>
      <c r="Y7" s="19"/>
      <c r="Z7" s="68" t="s">
        <v>134</v>
      </c>
      <c r="AA7" s="37" t="s">
        <v>459</v>
      </c>
      <c r="AB7" s="19" t="s">
        <v>73</v>
      </c>
      <c r="AC7" s="19">
        <v>18607145067</v>
      </c>
      <c r="AD7" s="23" t="s">
        <v>179</v>
      </c>
      <c r="AE7" s="19"/>
      <c r="AF7" s="37" t="s">
        <v>193</v>
      </c>
      <c r="AG7" s="23" t="s">
        <v>219</v>
      </c>
      <c r="AH7" s="23" t="str">
        <f t="shared" si="5"/>
        <v>;liuff@inspur.com;liaoc@inspur.com</v>
      </c>
      <c r="AI7" s="35" t="s">
        <v>183</v>
      </c>
      <c r="AJ7" s="35" t="s">
        <v>183</v>
      </c>
      <c r="AK7" s="54" t="s">
        <v>134</v>
      </c>
      <c r="AL7" s="37"/>
      <c r="AM7" s="23"/>
      <c r="AN7" s="19"/>
      <c r="AO7" s="20"/>
      <c r="AP7" s="37"/>
      <c r="AQ7" s="19"/>
      <c r="AR7" s="19"/>
      <c r="AS7" s="19"/>
    </row>
    <row r="8" spans="1:45" ht="15.75" customHeight="1" x14ac:dyDescent="0.35">
      <c r="A8" s="18" t="str">
        <f t="shared" si="0"/>
        <v>suiky@inspur.com</v>
      </c>
      <c r="B8" s="18" t="str">
        <f t="shared" si="1"/>
        <v>jilei@inspur.com;;guohui@inspur.com;wangmx@inspur.com;kangzp@inspur.com;tangjing@inspur.com;</v>
      </c>
      <c r="C8" s="19" t="str">
        <f t="shared" si="2"/>
        <v>云服务集团周报数据</v>
      </c>
      <c r="D8" s="20" t="str">
        <f t="shared" si="3"/>
        <v>隋总，
      您好! 附件为贵单位本周的签单/回款数据，请查阅。如有异议及时反馈。
            云服务集团市场部</v>
      </c>
      <c r="E8" s="56" t="str">
        <f t="shared" si="4"/>
        <v>F:\工作\3浪潮云服务\市场部\本次发送\工作表合并\山西区.xlsx</v>
      </c>
      <c r="F8" s="70" t="s">
        <v>374</v>
      </c>
      <c r="G8" s="30"/>
      <c r="H8" s="61">
        <v>1</v>
      </c>
      <c r="I8" s="61" t="s">
        <v>377</v>
      </c>
      <c r="J8" s="36"/>
      <c r="N8" s="46" t="s">
        <v>79</v>
      </c>
      <c r="O8" s="1" t="s">
        <v>42</v>
      </c>
      <c r="P8" s="1">
        <v>13853199927</v>
      </c>
      <c r="Q8" s="23" t="s">
        <v>43</v>
      </c>
      <c r="R8" s="21"/>
      <c r="S8" s="53" t="s">
        <v>132</v>
      </c>
      <c r="T8" s="37" t="s">
        <v>144</v>
      </c>
      <c r="U8" s="50" t="s">
        <v>279</v>
      </c>
      <c r="V8" s="19" t="s">
        <v>165</v>
      </c>
      <c r="W8" s="19">
        <v>18660177898</v>
      </c>
      <c r="X8" s="23" t="s">
        <v>145</v>
      </c>
      <c r="Y8" s="19"/>
      <c r="Z8" s="68" t="s">
        <v>132</v>
      </c>
      <c r="AA8" s="37" t="s">
        <v>463</v>
      </c>
      <c r="AB8" s="19" t="s">
        <v>80</v>
      </c>
      <c r="AC8" s="19">
        <v>13403450091</v>
      </c>
      <c r="AD8" s="23" t="s">
        <v>180</v>
      </c>
      <c r="AE8" s="19"/>
      <c r="AF8" s="37" t="s">
        <v>519</v>
      </c>
      <c r="AG8" s="23" t="s">
        <v>220</v>
      </c>
      <c r="AH8" s="23" t="str">
        <f t="shared" si="5"/>
        <v>;guohui@inspur.com;wangmx@inspur.com</v>
      </c>
      <c r="AI8" s="35" t="s">
        <v>183</v>
      </c>
      <c r="AJ8" s="35" t="s">
        <v>183</v>
      </c>
      <c r="AK8" s="54" t="s">
        <v>132</v>
      </c>
      <c r="AL8" s="37"/>
      <c r="AM8" s="23"/>
      <c r="AN8" s="19"/>
      <c r="AO8" s="20"/>
      <c r="AP8" s="37"/>
      <c r="AQ8" s="19"/>
      <c r="AR8" s="19"/>
      <c r="AS8" s="19"/>
    </row>
    <row r="9" spans="1:45" ht="15.75" customHeight="1" x14ac:dyDescent="0.35">
      <c r="A9" s="18" t="str">
        <f t="shared" si="0"/>
        <v>liyu@inspur.com</v>
      </c>
      <c r="B9" s="18" t="str">
        <f t="shared" si="1"/>
        <v>zhangdch@inspur.com;baoqh@inspur.com;gaozhenqi@inspur.com;;kangzp@inspur.com;tangjing@inspur.com;</v>
      </c>
      <c r="C9" s="19" t="str">
        <f t="shared" si="2"/>
        <v>云服务集团周报数据</v>
      </c>
      <c r="D9" s="20" t="str">
        <f t="shared" si="3"/>
        <v>李总，
      您好! 附件为贵单位本周的签单/回款数据，请查阅。如有异议及时反馈。
            云服务集团市场部</v>
      </c>
      <c r="E9" s="56" t="str">
        <f t="shared" si="4"/>
        <v>F:\工作\3浪潮云服务\市场部\本次发送\工作表合并\黑龙江区.xlsx</v>
      </c>
      <c r="F9" s="70" t="s">
        <v>377</v>
      </c>
      <c r="G9" s="30"/>
      <c r="H9" s="61">
        <v>1</v>
      </c>
      <c r="I9" s="61" t="s">
        <v>336</v>
      </c>
      <c r="J9" s="36"/>
      <c r="N9" s="46" t="s">
        <v>84</v>
      </c>
      <c r="O9" s="1" t="s">
        <v>24</v>
      </c>
      <c r="P9" s="1">
        <v>13384517868</v>
      </c>
      <c r="Q9" s="23" t="s">
        <v>25</v>
      </c>
      <c r="R9" s="21"/>
      <c r="S9" s="53" t="s">
        <v>129</v>
      </c>
      <c r="T9" s="37" t="s">
        <v>346</v>
      </c>
      <c r="U9" s="50" t="s">
        <v>303</v>
      </c>
      <c r="V9" s="19" t="s">
        <v>302</v>
      </c>
      <c r="W9" s="19">
        <v>13940374567</v>
      </c>
      <c r="X9" s="23" t="s">
        <v>307</v>
      </c>
      <c r="Y9" s="19"/>
      <c r="Z9" s="68" t="s">
        <v>129</v>
      </c>
      <c r="AA9" s="37" t="s">
        <v>469</v>
      </c>
      <c r="AB9" s="19" t="s">
        <v>66</v>
      </c>
      <c r="AC9" s="19"/>
      <c r="AD9" s="23" t="s">
        <v>342</v>
      </c>
      <c r="AE9" s="19"/>
      <c r="AF9" s="37"/>
      <c r="AG9" s="23" t="s">
        <v>183</v>
      </c>
      <c r="AH9" s="23" t="str">
        <f t="shared" si="5"/>
        <v>baoqh@inspur.com;gaozhenqi@inspur.com;</v>
      </c>
      <c r="AI9" s="35" t="s">
        <v>183</v>
      </c>
      <c r="AJ9" s="35" t="s">
        <v>183</v>
      </c>
      <c r="AK9" s="54" t="s">
        <v>129</v>
      </c>
      <c r="AL9" s="37" t="s">
        <v>349</v>
      </c>
      <c r="AM9" s="23" t="s">
        <v>348</v>
      </c>
      <c r="AN9" s="19" t="s">
        <v>350</v>
      </c>
      <c r="AO9" s="20"/>
      <c r="AP9" s="37"/>
      <c r="AQ9" s="19"/>
      <c r="AR9" s="19"/>
      <c r="AS9" s="19"/>
    </row>
    <row r="10" spans="1:45" ht="15.75" customHeight="1" x14ac:dyDescent="0.35">
      <c r="A10" s="18" t="str">
        <f t="shared" si="0"/>
        <v>longqi@inspur.com</v>
      </c>
      <c r="B10" s="18" t="str">
        <f t="shared" si="1"/>
        <v>hanchx@inspur.com;;huyj@inspur.com;;kangzp@inspur.com;tangjing@inspur.com;</v>
      </c>
      <c r="C10" s="19" t="str">
        <f t="shared" si="2"/>
        <v>云服务集团周报数据</v>
      </c>
      <c r="D10" s="20" t="str">
        <f t="shared" si="3"/>
        <v>龙总，
      您好! 附件为贵单位本周的签单/回款数据，请查阅。如有异议及时反馈。
            云服务集团市场部</v>
      </c>
      <c r="E10" s="56" t="str">
        <f t="shared" si="4"/>
        <v>F:\工作\3浪潮云服务\市场部\本次发送\工作表合并\湖南区.xlsx</v>
      </c>
      <c r="F10" s="70" t="s">
        <v>378</v>
      </c>
      <c r="G10" s="30"/>
      <c r="H10" s="61">
        <v>1</v>
      </c>
      <c r="I10" s="61" t="s">
        <v>380</v>
      </c>
      <c r="J10" s="36"/>
      <c r="N10" s="46" t="s">
        <v>96</v>
      </c>
      <c r="O10" s="1" t="s">
        <v>28</v>
      </c>
      <c r="P10" s="1">
        <v>13974880009</v>
      </c>
      <c r="Q10" s="23" t="s">
        <v>29</v>
      </c>
      <c r="R10" s="21"/>
      <c r="S10" s="53" t="s">
        <v>128</v>
      </c>
      <c r="T10" s="37" t="s">
        <v>347</v>
      </c>
      <c r="U10" s="50" t="s">
        <v>343</v>
      </c>
      <c r="V10" s="19" t="s">
        <v>165</v>
      </c>
      <c r="W10" s="19">
        <v>13574889880</v>
      </c>
      <c r="X10" s="23" t="s">
        <v>344</v>
      </c>
      <c r="Y10" s="19"/>
      <c r="Z10" s="68" t="s">
        <v>128</v>
      </c>
      <c r="AA10" s="37" t="s">
        <v>471</v>
      </c>
      <c r="AB10" s="19" t="s">
        <v>68</v>
      </c>
      <c r="AC10" s="19">
        <v>13319531009</v>
      </c>
      <c r="AD10" s="23" t="s">
        <v>97</v>
      </c>
      <c r="AE10" s="19"/>
      <c r="AF10" s="37"/>
      <c r="AG10" s="23" t="s">
        <v>183</v>
      </c>
      <c r="AH10" s="23" t="str">
        <f t="shared" si="5"/>
        <v>;huyj@inspur.com;</v>
      </c>
      <c r="AI10" s="35" t="s">
        <v>183</v>
      </c>
      <c r="AJ10" s="35" t="s">
        <v>183</v>
      </c>
      <c r="AK10" s="54" t="s">
        <v>128</v>
      </c>
      <c r="AL10" s="37"/>
      <c r="AM10" s="23"/>
      <c r="AN10" s="19"/>
      <c r="AO10" s="20"/>
      <c r="AP10" s="37"/>
      <c r="AQ10" s="19"/>
      <c r="AR10" s="19"/>
      <c r="AS10" s="19"/>
    </row>
    <row r="11" spans="1:45" ht="15.75" customHeight="1" x14ac:dyDescent="0.35">
      <c r="A11" s="18" t="str">
        <f t="shared" si="0"/>
        <v>raosm@inspur.com</v>
      </c>
      <c r="B11" s="18" t="str">
        <f t="shared" si="1"/>
        <v>xujd@inspur.com;;suting@inspur.com;;kangzp@inspur.com;tangjing@inspur.com;</v>
      </c>
      <c r="C11" s="19" t="str">
        <f t="shared" si="2"/>
        <v>云服务集团周报数据</v>
      </c>
      <c r="D11" s="20" t="str">
        <f t="shared" si="3"/>
        <v>饶总，
      您好! 附件为贵单位本周的签单/回款数据，请查阅。如有异议及时反馈。
            云服务集团市场部</v>
      </c>
      <c r="E11" s="56" t="str">
        <f t="shared" si="4"/>
        <v>F:\工作\3浪潮云服务\市场部\本次发送\工作表合并\江西区.xlsx</v>
      </c>
      <c r="F11" s="70" t="s">
        <v>380</v>
      </c>
      <c r="G11" s="30"/>
      <c r="H11" s="61">
        <v>1</v>
      </c>
      <c r="I11" s="61" t="s">
        <v>382</v>
      </c>
      <c r="J11" s="36"/>
      <c r="N11" s="46" t="s">
        <v>82</v>
      </c>
      <c r="O11" s="1" t="s">
        <v>60</v>
      </c>
      <c r="P11" s="1">
        <v>13911059500</v>
      </c>
      <c r="Q11" s="23" t="s">
        <v>61</v>
      </c>
      <c r="R11" s="21"/>
      <c r="S11" s="53" t="s">
        <v>126</v>
      </c>
      <c r="T11" s="37" t="s">
        <v>358</v>
      </c>
      <c r="U11" s="50" t="s">
        <v>359</v>
      </c>
      <c r="V11" s="19"/>
      <c r="W11" s="19">
        <v>13307913066</v>
      </c>
      <c r="X11" s="23" t="s">
        <v>360</v>
      </c>
      <c r="Y11" s="19"/>
      <c r="Z11" s="68" t="s">
        <v>126</v>
      </c>
      <c r="AA11" s="37" t="s">
        <v>475</v>
      </c>
      <c r="AB11" s="19" t="s">
        <v>66</v>
      </c>
      <c r="AC11" s="19">
        <v>18679171137</v>
      </c>
      <c r="AD11" s="23" t="s">
        <v>182</v>
      </c>
      <c r="AE11" s="19"/>
      <c r="AF11" s="37"/>
      <c r="AG11" s="23" t="s">
        <v>183</v>
      </c>
      <c r="AH11" s="23" t="str">
        <f t="shared" si="5"/>
        <v>;suting@inspur.com;</v>
      </c>
      <c r="AI11" s="35" t="s">
        <v>183</v>
      </c>
      <c r="AJ11" s="35" t="s">
        <v>183</v>
      </c>
      <c r="AK11" s="54" t="s">
        <v>126</v>
      </c>
      <c r="AL11" s="37"/>
      <c r="AM11" s="23"/>
      <c r="AN11" s="19"/>
      <c r="AO11" s="20"/>
      <c r="AP11" s="37"/>
      <c r="AQ11" s="19"/>
      <c r="AR11" s="19"/>
      <c r="AS11" s="19"/>
    </row>
    <row r="12" spans="1:45" ht="16.5" customHeight="1" x14ac:dyDescent="0.35">
      <c r="A12" s="18" t="str">
        <f t="shared" si="0"/>
        <v>zhigh@inspur.com</v>
      </c>
      <c r="B12" s="18" t="str">
        <f t="shared" si="1"/>
        <v>sunqch@inspur.com;;panjie@inspur.com;wangmiaom@inspur.com;wangmiaom@inspur.com;kangzp@inspur.com;tangjing@inspur.com;</v>
      </c>
      <c r="C12" s="19" t="str">
        <f t="shared" si="2"/>
        <v>云服务集团周报数据</v>
      </c>
      <c r="D12" s="20" t="str">
        <f t="shared" si="3"/>
        <v>智总，
      您好! 附件为贵单位本周的签单/回款数据，请查阅。如有异议及时反馈。
            云服务集团市场部</v>
      </c>
      <c r="E12" s="56" t="str">
        <f t="shared" si="4"/>
        <v>F:\工作\3浪潮云服务\市场部\本次发送\工作表合并\天津区.xlsx</v>
      </c>
      <c r="F12" s="70" t="s">
        <v>381</v>
      </c>
      <c r="G12" s="30"/>
      <c r="H12" s="61">
        <v>1</v>
      </c>
      <c r="I12" s="61" t="s">
        <v>365</v>
      </c>
      <c r="J12" s="36"/>
      <c r="N12" s="48" t="s">
        <v>115</v>
      </c>
      <c r="O12" s="1" t="s">
        <v>417</v>
      </c>
      <c r="P12" s="1"/>
      <c r="Q12" s="23" t="s">
        <v>418</v>
      </c>
      <c r="R12" s="21"/>
      <c r="S12" s="53" t="s">
        <v>476</v>
      </c>
      <c r="T12" s="37" t="s">
        <v>330</v>
      </c>
      <c r="U12" s="50" t="s">
        <v>332</v>
      </c>
      <c r="V12" s="19" t="s">
        <v>331</v>
      </c>
      <c r="W12" s="19">
        <v>18502281735</v>
      </c>
      <c r="X12" s="23" t="s">
        <v>361</v>
      </c>
      <c r="Y12" s="19"/>
      <c r="Z12" s="68" t="s">
        <v>476</v>
      </c>
      <c r="AA12" s="37" t="s">
        <v>477</v>
      </c>
      <c r="AB12" s="19" t="s">
        <v>160</v>
      </c>
      <c r="AC12" s="19" t="s">
        <v>161</v>
      </c>
      <c r="AD12" s="23" t="s">
        <v>162</v>
      </c>
      <c r="AE12" s="19"/>
      <c r="AF12" s="37" t="s">
        <v>521</v>
      </c>
      <c r="AG12" s="23" t="s">
        <v>222</v>
      </c>
      <c r="AH12" s="23" t="str">
        <f t="shared" si="5"/>
        <v>;panjie@inspur.com;wangmiaom@inspur.com;wangmiaom@inspur.com</v>
      </c>
      <c r="AI12" s="35" t="s">
        <v>183</v>
      </c>
      <c r="AJ12" s="35" t="s">
        <v>183</v>
      </c>
      <c r="AK12" s="54" t="s">
        <v>116</v>
      </c>
      <c r="AL12" s="37"/>
      <c r="AM12" s="23"/>
      <c r="AN12" s="19"/>
      <c r="AO12" s="20"/>
      <c r="AP12" s="37"/>
      <c r="AQ12" s="19"/>
      <c r="AR12" s="19"/>
      <c r="AS12" s="19"/>
    </row>
    <row r="13" spans="1:45" ht="15.75" customHeight="1" x14ac:dyDescent="0.35">
      <c r="A13" s="18" t="str">
        <f t="shared" si="0"/>
        <v>yourui@inspur.com</v>
      </c>
      <c r="B13" s="18" t="str">
        <f t="shared" si="1"/>
        <v>gongmx@inspur.com;chenweinm@inspur.com;dingjiao@inspur.com;;kangzp@inspur.com;tangjing@inspur.com;</v>
      </c>
      <c r="C13" s="19" t="str">
        <f t="shared" si="2"/>
        <v>云服务集团周报数据</v>
      </c>
      <c r="D13" s="20" t="str">
        <f t="shared" si="3"/>
        <v>尤总，
      您好! 附件为贵单位本周的签单/回款数据，请查阅。如有异议及时反馈。
            云服务集团市场部</v>
      </c>
      <c r="E13" s="56" t="str">
        <f t="shared" si="4"/>
        <v>F:\工作\3浪潮云服务\市场部\本次发送\工作表合并\内蒙古区.xlsx</v>
      </c>
      <c r="F13" s="70" t="s">
        <v>382</v>
      </c>
      <c r="G13" s="30"/>
      <c r="H13" s="61">
        <v>1</v>
      </c>
      <c r="I13" s="61" t="s">
        <v>388</v>
      </c>
      <c r="J13" s="36"/>
      <c r="N13" s="46" t="s">
        <v>205</v>
      </c>
      <c r="O13" s="1" t="s">
        <v>36</v>
      </c>
      <c r="P13" s="1">
        <v>18600280588</v>
      </c>
      <c r="Q13" s="23" t="s">
        <v>37</v>
      </c>
      <c r="R13" s="21"/>
      <c r="S13" s="53" t="s">
        <v>117</v>
      </c>
      <c r="T13" s="37" t="s">
        <v>429</v>
      </c>
      <c r="U13" s="50" t="s">
        <v>430</v>
      </c>
      <c r="V13" s="19"/>
      <c r="W13" s="19">
        <v>18654528866</v>
      </c>
      <c r="X13" s="23" t="s">
        <v>431</v>
      </c>
      <c r="Y13" s="19"/>
      <c r="Z13" s="68" t="s">
        <v>117</v>
      </c>
      <c r="AA13" s="37" t="s">
        <v>479</v>
      </c>
      <c r="AB13" s="19" t="s">
        <v>66</v>
      </c>
      <c r="AC13" s="19">
        <v>15849339290</v>
      </c>
      <c r="AD13" s="23" t="s">
        <v>91</v>
      </c>
      <c r="AE13" s="19"/>
      <c r="AF13" s="37"/>
      <c r="AG13" s="23" t="s">
        <v>183</v>
      </c>
      <c r="AH13" s="23" t="str">
        <f t="shared" si="5"/>
        <v>chenweinm@inspur.com;dingjiao@inspur.com;</v>
      </c>
      <c r="AI13" s="35" t="s">
        <v>183</v>
      </c>
      <c r="AJ13" s="35" t="s">
        <v>183</v>
      </c>
      <c r="AK13" s="54" t="s">
        <v>117</v>
      </c>
      <c r="AL13" s="37" t="s">
        <v>333</v>
      </c>
      <c r="AM13" s="23" t="s">
        <v>187</v>
      </c>
      <c r="AN13" s="19"/>
      <c r="AO13" s="20">
        <v>13015020567</v>
      </c>
      <c r="AP13" s="37"/>
      <c r="AQ13" s="19"/>
      <c r="AR13" s="19"/>
      <c r="AS13" s="19"/>
    </row>
    <row r="14" spans="1:45" ht="15.75" customHeight="1" x14ac:dyDescent="0.35">
      <c r="A14" s="18" t="str">
        <f t="shared" si="0"/>
        <v>tanhb@inspur.com</v>
      </c>
      <c r="B14" s="18" t="str">
        <f t="shared" si="1"/>
        <v>sunqd@inspur.com;tanhb@inspur.com;wengxl@inspur.com;zhanglinfj@inspur.com;kangzp@inspur.com;tangjing@inspur.com;</v>
      </c>
      <c r="C14" s="19" t="str">
        <f t="shared" si="2"/>
        <v>云服务集团周报数据</v>
      </c>
      <c r="D14" s="20" t="str">
        <f t="shared" si="3"/>
        <v>谈总，
      您好! 附件为贵单位本周的签单/回款数据，请查阅。如有异议及时反馈。
            云服务集团市场部</v>
      </c>
      <c r="E14" s="56" t="str">
        <f t="shared" si="4"/>
        <v>F:\工作\3浪潮云服务\市场部\本次发送\工作表合并\福建区.xlsx</v>
      </c>
      <c r="F14" s="70" t="s">
        <v>384</v>
      </c>
      <c r="G14" s="30"/>
      <c r="H14" s="61">
        <v>1</v>
      </c>
      <c r="I14" s="61" t="s">
        <v>387</v>
      </c>
      <c r="J14" s="36"/>
      <c r="N14" s="48" t="s">
        <v>100</v>
      </c>
      <c r="O14" s="1" t="s">
        <v>56</v>
      </c>
      <c r="P14" s="1">
        <v>15806679158</v>
      </c>
      <c r="Q14" s="23" t="s">
        <v>57</v>
      </c>
      <c r="R14" s="21"/>
      <c r="S14" s="53" t="s">
        <v>124</v>
      </c>
      <c r="T14" s="37" t="s">
        <v>261</v>
      </c>
      <c r="U14" s="50" t="s">
        <v>363</v>
      </c>
      <c r="V14" s="19" t="s">
        <v>165</v>
      </c>
      <c r="W14" s="19">
        <v>13850101878</v>
      </c>
      <c r="X14" s="23" t="s">
        <v>364</v>
      </c>
      <c r="Y14" s="19"/>
      <c r="Z14" s="68" t="s">
        <v>124</v>
      </c>
      <c r="AA14" s="37" t="s">
        <v>483</v>
      </c>
      <c r="AB14" s="65" t="s">
        <v>183</v>
      </c>
      <c r="AC14" s="19"/>
      <c r="AD14" s="23" t="s">
        <v>329</v>
      </c>
      <c r="AE14" s="19"/>
      <c r="AF14" s="37" t="s">
        <v>209</v>
      </c>
      <c r="AG14" s="23" t="s">
        <v>223</v>
      </c>
      <c r="AH14" s="23" t="str">
        <f>AM14&amp;";"&amp;AD14&amp;";"&amp;AG14</f>
        <v>tanhb@inspur.com;wengxl@inspur.com;zhanglinfj@inspur.com</v>
      </c>
      <c r="AI14" s="35" t="s">
        <v>183</v>
      </c>
      <c r="AJ14" s="35" t="s">
        <v>183</v>
      </c>
      <c r="AK14" s="54" t="s">
        <v>124</v>
      </c>
      <c r="AL14" s="37" t="s">
        <v>261</v>
      </c>
      <c r="AM14" s="23" t="s">
        <v>266</v>
      </c>
      <c r="AN14" s="19" t="s">
        <v>263</v>
      </c>
      <c r="AO14" s="20"/>
      <c r="AP14" s="37" t="s">
        <v>328</v>
      </c>
      <c r="AQ14" s="19" t="s">
        <v>66</v>
      </c>
      <c r="AR14" s="19">
        <v>15059157761</v>
      </c>
      <c r="AS14" s="19" t="s">
        <v>101</v>
      </c>
    </row>
    <row r="15" spans="1:45" ht="15.75" customHeight="1" x14ac:dyDescent="0.35">
      <c r="A15" s="18" t="str">
        <f t="shared" si="0"/>
        <v>loupeng@inspur.com</v>
      </c>
      <c r="B15" s="18" t="str">
        <f t="shared" si="1"/>
        <v>cuijm@inspur.com;;chengss@inspur.com;;kangzp@inspur.com;tangjing@inspur.com;</v>
      </c>
      <c r="C15" s="19" t="str">
        <f t="shared" si="2"/>
        <v>云服务集团周报数据</v>
      </c>
      <c r="D15" s="20" t="str">
        <f t="shared" si="3"/>
        <v>娄总，
      您好! 附件为贵单位本周的签单/回款数据，请查阅。如有异议及时反馈。
            云服务集团市场部</v>
      </c>
      <c r="E15" s="56" t="str">
        <f t="shared" si="4"/>
        <v>F:\工作\3浪潮云服务\市场部\本次发送\工作表合并\新疆区.xlsx</v>
      </c>
      <c r="F15" s="70" t="s">
        <v>385</v>
      </c>
      <c r="G15" s="30"/>
      <c r="H15" s="61">
        <v>1</v>
      </c>
      <c r="I15" s="61" t="s">
        <v>378</v>
      </c>
      <c r="J15" s="36"/>
      <c r="N15" s="46" t="s">
        <v>89</v>
      </c>
      <c r="O15" s="1" t="s">
        <v>50</v>
      </c>
      <c r="P15" s="1">
        <v>13999985001</v>
      </c>
      <c r="Q15" s="23" t="s">
        <v>51</v>
      </c>
      <c r="R15" s="21"/>
      <c r="S15" s="53" t="s">
        <v>123</v>
      </c>
      <c r="T15" s="37" t="s">
        <v>407</v>
      </c>
      <c r="U15" s="50" t="s">
        <v>408</v>
      </c>
      <c r="V15" s="19"/>
      <c r="W15" s="19">
        <v>18699020035</v>
      </c>
      <c r="X15" s="23" t="s">
        <v>409</v>
      </c>
      <c r="Y15" s="19"/>
      <c r="Z15" s="68" t="s">
        <v>123</v>
      </c>
      <c r="AA15" s="37" t="s">
        <v>485</v>
      </c>
      <c r="AB15" s="19" t="s">
        <v>66</v>
      </c>
      <c r="AC15" s="19">
        <v>13659956575</v>
      </c>
      <c r="AD15" s="23" t="s">
        <v>90</v>
      </c>
      <c r="AE15" s="19"/>
      <c r="AF15" s="37"/>
      <c r="AG15" s="23" t="s">
        <v>183</v>
      </c>
      <c r="AH15" s="23" t="str">
        <f t="shared" si="5"/>
        <v>;chengss@inspur.com;</v>
      </c>
      <c r="AI15" s="35" t="s">
        <v>183</v>
      </c>
      <c r="AJ15" s="35" t="s">
        <v>183</v>
      </c>
      <c r="AK15" s="54" t="s">
        <v>123</v>
      </c>
      <c r="AL15" s="37"/>
      <c r="AM15" s="23"/>
      <c r="AN15" s="19"/>
      <c r="AO15" s="20"/>
      <c r="AP15" s="37"/>
      <c r="AQ15" s="19"/>
      <c r="AR15" s="19"/>
      <c r="AS15" s="19"/>
    </row>
    <row r="16" spans="1:45" ht="15.75" customHeight="1" x14ac:dyDescent="0.35">
      <c r="A16" s="18" t="str">
        <f t="shared" si="0"/>
        <v>lianglin@inspur.com</v>
      </c>
      <c r="B16" s="18" t="str">
        <f t="shared" si="1"/>
        <v>liu.yong@inspur.com;;chenshl@inspur.com;;kangzp@inspur.com;tangjing@inspur.com;</v>
      </c>
      <c r="C16" s="19" t="str">
        <f t="shared" si="2"/>
        <v>云服务集团周报数据</v>
      </c>
      <c r="D16" s="20" t="str">
        <f t="shared" si="3"/>
        <v>梁总，
      您好! 附件为贵单位本周的签单/回款数据，请查阅。如有异议及时反馈。
            云服务集团市场部</v>
      </c>
      <c r="E16" s="56" t="str">
        <f t="shared" si="4"/>
        <v>F:\工作\3浪潮云服务\市场部\本次发送\工作表合并\广西区.xlsx</v>
      </c>
      <c r="F16" s="70" t="s">
        <v>386</v>
      </c>
      <c r="G16" s="30"/>
      <c r="H16" s="61">
        <v>1</v>
      </c>
      <c r="I16" s="61" t="s">
        <v>393</v>
      </c>
      <c r="J16" s="36"/>
      <c r="N16" s="46" t="s">
        <v>105</v>
      </c>
      <c r="O16" s="1" t="s">
        <v>16</v>
      </c>
      <c r="P16" s="1">
        <v>13759533658</v>
      </c>
      <c r="Q16" s="23" t="s">
        <v>17</v>
      </c>
      <c r="R16" s="21"/>
      <c r="S16" s="53" t="s">
        <v>122</v>
      </c>
      <c r="T16" s="37" t="s">
        <v>147</v>
      </c>
      <c r="U16" s="50" t="s">
        <v>283</v>
      </c>
      <c r="V16" s="19" t="s">
        <v>143</v>
      </c>
      <c r="W16" s="19">
        <v>13607710531</v>
      </c>
      <c r="X16" s="23" t="s">
        <v>171</v>
      </c>
      <c r="Y16" s="19"/>
      <c r="Z16" s="68" t="s">
        <v>122</v>
      </c>
      <c r="AA16" s="37" t="s">
        <v>487</v>
      </c>
      <c r="AB16" s="19" t="s">
        <v>73</v>
      </c>
      <c r="AC16" s="19">
        <v>15977759932</v>
      </c>
      <c r="AD16" s="23" t="s">
        <v>106</v>
      </c>
      <c r="AE16" s="19"/>
      <c r="AF16" s="37"/>
      <c r="AG16" s="23" t="s">
        <v>183</v>
      </c>
      <c r="AH16" s="23" t="str">
        <f t="shared" si="5"/>
        <v>;chenshl@inspur.com;</v>
      </c>
      <c r="AI16" s="35" t="s">
        <v>183</v>
      </c>
      <c r="AJ16" s="35" t="s">
        <v>183</v>
      </c>
      <c r="AK16" s="54" t="s">
        <v>122</v>
      </c>
      <c r="AL16" s="37"/>
      <c r="AM16" s="23"/>
      <c r="AN16" s="19"/>
      <c r="AO16" s="20"/>
      <c r="AP16" s="37"/>
      <c r="AQ16" s="19"/>
      <c r="AR16" s="19"/>
      <c r="AS16" s="19"/>
    </row>
    <row r="17" spans="1:45" ht="15.75" customHeight="1" x14ac:dyDescent="0.35">
      <c r="A17" s="18" t="str">
        <f t="shared" si="0"/>
        <v>kangll@inspur.com</v>
      </c>
      <c r="B17" s="18" t="str">
        <f t="shared" si="1"/>
        <v>kangkai@inspur.com;liumengfang@inspur.com;haoling@inspur.com;yumh@inspur.com;kangzp@inspur.com;tangjing@inspur.com;</v>
      </c>
      <c r="C17" s="19" t="str">
        <f t="shared" si="2"/>
        <v>云服务集团周报数据</v>
      </c>
      <c r="D17" s="20" t="str">
        <f t="shared" si="3"/>
        <v>康总，
      您好! 附件为贵单位本周的签单/回款数据，请查阅。如有异议及时反馈。
            云服务集团市场部</v>
      </c>
      <c r="E17" s="56" t="str">
        <f t="shared" si="4"/>
        <v>F:\工作\3浪潮云服务\市场部\本次发送\工作表合并\重庆区.xlsx</v>
      </c>
      <c r="F17" s="70" t="s">
        <v>387</v>
      </c>
      <c r="G17" s="30"/>
      <c r="H17" s="61">
        <v>1</v>
      </c>
      <c r="I17" s="61" t="s">
        <v>374</v>
      </c>
      <c r="J17" s="36"/>
      <c r="N17" s="46" t="s">
        <v>92</v>
      </c>
      <c r="O17" s="1" t="s">
        <v>415</v>
      </c>
      <c r="P17" s="1"/>
      <c r="Q17" s="23" t="s">
        <v>416</v>
      </c>
      <c r="R17" s="21"/>
      <c r="S17" s="53" t="s">
        <v>121</v>
      </c>
      <c r="T17" s="73" t="s">
        <v>528</v>
      </c>
      <c r="U17" s="50" t="s">
        <v>527</v>
      </c>
      <c r="V17" s="19" t="s">
        <v>165</v>
      </c>
      <c r="W17" s="19">
        <v>13389603995</v>
      </c>
      <c r="X17" s="23" t="s">
        <v>526</v>
      </c>
      <c r="Y17" s="19"/>
      <c r="Z17" s="68" t="s">
        <v>121</v>
      </c>
      <c r="AA17" s="37" t="s">
        <v>489</v>
      </c>
      <c r="AB17" s="19" t="s">
        <v>68</v>
      </c>
      <c r="AC17" s="19">
        <v>15923343988</v>
      </c>
      <c r="AD17" s="23" t="s">
        <v>93</v>
      </c>
      <c r="AE17" s="19"/>
      <c r="AF17" s="37" t="s">
        <v>523</v>
      </c>
      <c r="AG17" s="23" t="s">
        <v>313</v>
      </c>
      <c r="AH17" s="23" t="str">
        <f t="shared" si="5"/>
        <v>liumengfang@inspur.com;haoling@inspur.com;yumh@inspur.com</v>
      </c>
      <c r="AI17" s="35" t="s">
        <v>183</v>
      </c>
      <c r="AJ17" s="35" t="s">
        <v>183</v>
      </c>
      <c r="AK17" s="54" t="s">
        <v>121</v>
      </c>
      <c r="AL17" s="37" t="s">
        <v>356</v>
      </c>
      <c r="AM17" s="23" t="s">
        <v>355</v>
      </c>
      <c r="AN17" s="19" t="s">
        <v>302</v>
      </c>
      <c r="AO17" s="20"/>
      <c r="AP17" s="37"/>
      <c r="AQ17" s="19"/>
      <c r="AR17" s="19"/>
      <c r="AS17" s="19"/>
    </row>
    <row r="18" spans="1:45" ht="15.75" customHeight="1" x14ac:dyDescent="0.35">
      <c r="A18" s="18" t="str">
        <f t="shared" si="0"/>
        <v>houdj@inspur.com</v>
      </c>
      <c r="B18" s="18" t="str">
        <f t="shared" si="1"/>
        <v>xinjl@inspur.com;;benhy@insur.com;lixialc@inspur.com;kangzp@inspur.com;tangjing@inspur.com;</v>
      </c>
      <c r="C18" s="19" t="str">
        <f t="shared" si="2"/>
        <v>云服务集团周报数据</v>
      </c>
      <c r="D18" s="20" t="str">
        <f t="shared" si="3"/>
        <v>侯总，
      您好! 附件为贵单位本周的签单/回款数据，请查阅。如有异议及时反馈。
            云服务集团市场部</v>
      </c>
      <c r="E18" s="56" t="str">
        <f t="shared" si="4"/>
        <v>F:\工作\3浪潮云服务\市场部\本次发送\工作表合并\浙江区.xlsx</v>
      </c>
      <c r="F18" s="70" t="s">
        <v>388</v>
      </c>
      <c r="G18" s="30"/>
      <c r="H18" s="61">
        <v>1</v>
      </c>
      <c r="I18" s="61" t="s">
        <v>381</v>
      </c>
      <c r="J18" s="36"/>
      <c r="N18" s="46" t="s">
        <v>103</v>
      </c>
      <c r="O18" s="1" t="s">
        <v>54</v>
      </c>
      <c r="P18" s="1">
        <v>15658879929</v>
      </c>
      <c r="Q18" s="23" t="s">
        <v>55</v>
      </c>
      <c r="R18" s="21"/>
      <c r="S18" s="53" t="s">
        <v>490</v>
      </c>
      <c r="T18" s="37" t="s">
        <v>419</v>
      </c>
      <c r="U18" s="50" t="s">
        <v>420</v>
      </c>
      <c r="V18" s="19" t="s">
        <v>421</v>
      </c>
      <c r="W18" s="19">
        <v>18953119966</v>
      </c>
      <c r="X18" s="23" t="s">
        <v>422</v>
      </c>
      <c r="Y18" s="19"/>
      <c r="Z18" s="68" t="s">
        <v>490</v>
      </c>
      <c r="AA18" s="37" t="s">
        <v>491</v>
      </c>
      <c r="AB18" s="19" t="s">
        <v>66</v>
      </c>
      <c r="AC18" s="19">
        <v>18668060228</v>
      </c>
      <c r="AD18" s="23" t="s">
        <v>104</v>
      </c>
      <c r="AE18" s="19"/>
      <c r="AF18" s="37" t="s">
        <v>524</v>
      </c>
      <c r="AG18" s="23" t="s">
        <v>272</v>
      </c>
      <c r="AH18" s="23" t="str">
        <f t="shared" si="5"/>
        <v>;benhy@insur.com;lixialc@inspur.com</v>
      </c>
      <c r="AI18" s="35" t="s">
        <v>183</v>
      </c>
      <c r="AJ18" s="35" t="s">
        <v>183</v>
      </c>
      <c r="AK18" s="54" t="s">
        <v>103</v>
      </c>
      <c r="AL18" s="37"/>
      <c r="AM18" s="23"/>
      <c r="AN18" s="19"/>
      <c r="AO18" s="20"/>
      <c r="AP18" s="37"/>
      <c r="AQ18" s="19"/>
      <c r="AR18" s="19"/>
      <c r="AS18" s="19"/>
    </row>
    <row r="19" spans="1:45" ht="15.75" customHeight="1" x14ac:dyDescent="0.35">
      <c r="A19" s="18" t="str">
        <f t="shared" si="0"/>
        <v>jiangy@inspur.com</v>
      </c>
      <c r="B19" s="18" t="str">
        <f t="shared" si="1"/>
        <v>lixin@inspur.com;;fuyx@inspur.com;;kangzp@inspur.com;tangjing@inspur.com;</v>
      </c>
      <c r="C19" s="19" t="str">
        <f t="shared" si="2"/>
        <v>云服务集团周报数据</v>
      </c>
      <c r="D19" s="20" t="str">
        <f t="shared" si="3"/>
        <v>江总，
      您好! 附件为贵单位本周的签单/回款数据，请查阅。如有异议及时反馈。
            云服务集团市场部</v>
      </c>
      <c r="E19" s="56" t="str">
        <f t="shared" si="4"/>
        <v>F:\工作\3浪潮云服务\市场部\本次发送\工作表合并\贵州区.xlsx</v>
      </c>
      <c r="F19" s="71" t="s">
        <v>389</v>
      </c>
      <c r="G19" s="30"/>
      <c r="H19" s="61">
        <v>1</v>
      </c>
      <c r="I19" s="61" t="s">
        <v>385</v>
      </c>
      <c r="J19" s="36"/>
      <c r="N19" s="46" t="s">
        <v>107</v>
      </c>
      <c r="O19" s="2" t="s">
        <v>18</v>
      </c>
      <c r="P19" s="2">
        <v>13385115600</v>
      </c>
      <c r="Q19" s="23" t="s">
        <v>19</v>
      </c>
      <c r="R19" s="21"/>
      <c r="S19" s="53" t="s">
        <v>120</v>
      </c>
      <c r="T19" s="37" t="s">
        <v>148</v>
      </c>
      <c r="U19" s="50" t="s">
        <v>284</v>
      </c>
      <c r="V19" s="19" t="s">
        <v>143</v>
      </c>
      <c r="W19" s="19">
        <v>18985187797</v>
      </c>
      <c r="X19" s="23" t="s">
        <v>308</v>
      </c>
      <c r="Y19" s="19"/>
      <c r="Z19" s="68" t="s">
        <v>120</v>
      </c>
      <c r="AA19" s="37" t="s">
        <v>493</v>
      </c>
      <c r="AB19" s="19" t="s">
        <v>73</v>
      </c>
      <c r="AC19" s="19">
        <v>13312213132</v>
      </c>
      <c r="AD19" s="23" t="s">
        <v>108</v>
      </c>
      <c r="AE19" s="19"/>
      <c r="AF19" s="37"/>
      <c r="AG19" s="23" t="s">
        <v>183</v>
      </c>
      <c r="AH19" s="23" t="str">
        <f t="shared" si="5"/>
        <v>;fuyx@inspur.com;</v>
      </c>
      <c r="AI19" s="35" t="s">
        <v>183</v>
      </c>
      <c r="AJ19" s="35" t="s">
        <v>183</v>
      </c>
      <c r="AK19" s="54" t="s">
        <v>120</v>
      </c>
      <c r="AL19" s="37"/>
      <c r="AM19" s="23"/>
      <c r="AN19" s="19"/>
      <c r="AO19" s="20"/>
      <c r="AP19" s="37"/>
      <c r="AQ19" s="19"/>
      <c r="AR19" s="19"/>
      <c r="AS19" s="19"/>
    </row>
    <row r="20" spans="1:45" ht="15.75" customHeight="1" x14ac:dyDescent="0.35">
      <c r="A20" s="18" t="str">
        <f t="shared" si="0"/>
        <v>songning@inspur.com</v>
      </c>
      <c r="B20" s="18" t="str">
        <f t="shared" si="1"/>
        <v>wangnj@inspur.com;;hanmin@insur.com;;kangzp@inspur.com;tangjing@inspur.com;</v>
      </c>
      <c r="C20" s="19" t="str">
        <f t="shared" si="2"/>
        <v>云服务集团周报数据</v>
      </c>
      <c r="D20" s="20" t="str">
        <f t="shared" si="3"/>
        <v>宋总，
      您好! 附件为贵单位本周的签单/回款数据，请查阅。如有异议及时反馈。
            云服务集团市场部</v>
      </c>
      <c r="E20" s="56" t="str">
        <f t="shared" si="4"/>
        <v>F:\工作\3浪潮云服务\市场部\本次发送\工作表合并\宁夏区.xlsx</v>
      </c>
      <c r="F20" s="70" t="s">
        <v>393</v>
      </c>
      <c r="G20" s="30"/>
      <c r="H20" s="61">
        <v>1</v>
      </c>
      <c r="I20" s="61"/>
      <c r="J20" s="36"/>
      <c r="N20" s="46" t="s">
        <v>109</v>
      </c>
      <c r="O20" s="1" t="s">
        <v>38</v>
      </c>
      <c r="P20" s="1">
        <v>13309595050</v>
      </c>
      <c r="Q20" s="23" t="s">
        <v>39</v>
      </c>
      <c r="R20" s="21"/>
      <c r="S20" s="53" t="s">
        <v>163</v>
      </c>
      <c r="T20" s="37" t="s">
        <v>155</v>
      </c>
      <c r="U20" s="50" t="s">
        <v>286</v>
      </c>
      <c r="V20" s="19" t="s">
        <v>143</v>
      </c>
      <c r="W20" s="19">
        <v>13909519110</v>
      </c>
      <c r="X20" s="23" t="s">
        <v>173</v>
      </c>
      <c r="Y20" s="19"/>
      <c r="Z20" s="68" t="s">
        <v>163</v>
      </c>
      <c r="AA20" s="37" t="s">
        <v>502</v>
      </c>
      <c r="AB20" s="19" t="s">
        <v>66</v>
      </c>
      <c r="AC20" s="19">
        <v>18991165433</v>
      </c>
      <c r="AD20" s="23" t="s">
        <v>110</v>
      </c>
      <c r="AE20" s="19"/>
      <c r="AF20" s="37"/>
      <c r="AG20" s="23" t="s">
        <v>183</v>
      </c>
      <c r="AH20" s="23" t="str">
        <f t="shared" si="5"/>
        <v>;hanmin@insur.com;</v>
      </c>
      <c r="AI20" s="35" t="s">
        <v>183</v>
      </c>
      <c r="AJ20" s="35" t="s">
        <v>183</v>
      </c>
      <c r="AK20" s="54" t="s">
        <v>163</v>
      </c>
      <c r="AL20" s="37"/>
      <c r="AM20" s="23"/>
      <c r="AN20" s="19"/>
      <c r="AO20" s="20"/>
      <c r="AP20" s="37"/>
      <c r="AQ20" s="19"/>
      <c r="AR20" s="19"/>
      <c r="AS20" s="19"/>
    </row>
    <row r="21" spans="1:45" ht="15.75" customHeight="1" x14ac:dyDescent="0.35">
      <c r="A21" s="18" t="str">
        <f t="shared" si="0"/>
        <v>zhaojun@inspur.com</v>
      </c>
      <c r="B21" s="18" t="str">
        <f t="shared" si="1"/>
        <v>tianht@inspur.com;;liuzhiyu@inspur.com;;kangzp@inspur.com;tangjing@inspur.com;</v>
      </c>
      <c r="C21" s="19" t="str">
        <f t="shared" si="2"/>
        <v>云服务集团周报数据</v>
      </c>
      <c r="D21" s="20" t="str">
        <f t="shared" si="3"/>
        <v>赵总，
      您好! 附件为贵单位本周的签单/回款数据，请查阅。如有异议及时反馈。
            云服务集团市场部</v>
      </c>
      <c r="E21" s="56" t="str">
        <f t="shared" si="4"/>
        <v>F:\工作\3浪潮云服务\市场部\本次发送\工作表合并\政法行业部.xlsx</v>
      </c>
      <c r="F21" s="37" t="s">
        <v>197</v>
      </c>
      <c r="G21" s="30" t="s">
        <v>183</v>
      </c>
      <c r="H21" s="61">
        <v>1</v>
      </c>
      <c r="I21" s="61"/>
      <c r="J21" s="36"/>
      <c r="K21" s="38"/>
      <c r="L21" s="38"/>
      <c r="M21" s="38"/>
      <c r="N21" s="49" t="s">
        <v>197</v>
      </c>
      <c r="O21" s="1" t="s">
        <v>235</v>
      </c>
      <c r="P21" s="19"/>
      <c r="Q21" s="23" t="s">
        <v>248</v>
      </c>
      <c r="R21" s="19"/>
      <c r="S21" s="53" t="s">
        <v>197</v>
      </c>
      <c r="T21" s="37" t="s">
        <v>241</v>
      </c>
      <c r="U21" s="50" t="s">
        <v>275</v>
      </c>
      <c r="V21" s="19"/>
      <c r="W21" s="19">
        <v>13305317619</v>
      </c>
      <c r="X21" s="23" t="s">
        <v>253</v>
      </c>
      <c r="Y21" s="19"/>
      <c r="Z21" s="68" t="s">
        <v>197</v>
      </c>
      <c r="AA21" s="37" t="s">
        <v>210</v>
      </c>
      <c r="AB21" s="65" t="s">
        <v>183</v>
      </c>
      <c r="AC21" s="19"/>
      <c r="AD21" s="23" t="s">
        <v>226</v>
      </c>
      <c r="AE21" s="19"/>
      <c r="AF21" s="37"/>
      <c r="AG21" s="23"/>
      <c r="AH21" s="23" t="str">
        <f t="shared" si="5"/>
        <v>;liuzhiyu@inspur.com;</v>
      </c>
      <c r="AI21" s="35" t="s">
        <v>183</v>
      </c>
      <c r="AJ21" s="35" t="s">
        <v>183</v>
      </c>
      <c r="AK21" s="54" t="s">
        <v>197</v>
      </c>
      <c r="AL21" s="37"/>
      <c r="AM21" s="23"/>
      <c r="AN21" s="19"/>
      <c r="AO21" s="20"/>
      <c r="AP21" s="37"/>
      <c r="AQ21" s="19"/>
      <c r="AR21" s="19"/>
      <c r="AS21" s="19"/>
    </row>
    <row r="22" spans="1:45" ht="15.75" customHeight="1" x14ac:dyDescent="0.35">
      <c r="A22" s="18" t="str">
        <f t="shared" si="0"/>
        <v>li.yj@inspur.com</v>
      </c>
      <c r="B22" s="18" t="str">
        <f t="shared" si="1"/>
        <v>shiyong@inspur.com;fujt@inspur.com;chenfy@inspur.com;;kangzp@inspur.com;tangjing@inspur.com;</v>
      </c>
      <c r="C22" s="19" t="str">
        <f t="shared" si="2"/>
        <v>云服务集团周报数据</v>
      </c>
      <c r="D22" s="20" t="str">
        <f t="shared" si="3"/>
        <v>李总，
      您好! 附件为贵单位本周的签单/回款数据，请查阅。如有异议及时反馈。
            云服务集团市场部</v>
      </c>
      <c r="E22" s="56" t="str">
        <f t="shared" si="4"/>
        <v>F:\工作\3浪潮云服务\市场部\本次发送\工作表合并\党政教育行业部.xlsx</v>
      </c>
      <c r="F22" s="37" t="s">
        <v>198</v>
      </c>
      <c r="G22" s="30" t="s">
        <v>183</v>
      </c>
      <c r="H22" s="61">
        <v>1</v>
      </c>
      <c r="I22" s="61"/>
      <c r="J22" s="36"/>
      <c r="K22" s="38"/>
      <c r="L22" s="38"/>
      <c r="M22" s="38"/>
      <c r="N22" s="49" t="s">
        <v>198</v>
      </c>
      <c r="O22" s="1" t="s">
        <v>236</v>
      </c>
      <c r="P22" s="19"/>
      <c r="Q22" s="23" t="s">
        <v>249</v>
      </c>
      <c r="R22" s="19"/>
      <c r="S22" s="53" t="s">
        <v>198</v>
      </c>
      <c r="T22" s="37" t="s">
        <v>242</v>
      </c>
      <c r="U22" s="50" t="s">
        <v>281</v>
      </c>
      <c r="V22" s="19"/>
      <c r="W22" s="19">
        <v>18901155067</v>
      </c>
      <c r="X22" s="23" t="s">
        <v>254</v>
      </c>
      <c r="Y22" s="19"/>
      <c r="Z22" s="68" t="s">
        <v>198</v>
      </c>
      <c r="AA22" s="37" t="s">
        <v>211</v>
      </c>
      <c r="AB22" s="65" t="s">
        <v>183</v>
      </c>
      <c r="AC22" s="19"/>
      <c r="AD22" s="23" t="s">
        <v>227</v>
      </c>
      <c r="AE22" s="19"/>
      <c r="AF22" s="37"/>
      <c r="AG22" s="23"/>
      <c r="AH22" s="23" t="str">
        <f t="shared" si="5"/>
        <v>fujt@inspur.com;chenfy@inspur.com;</v>
      </c>
      <c r="AI22" s="35" t="s">
        <v>183</v>
      </c>
      <c r="AJ22" s="35" t="s">
        <v>183</v>
      </c>
      <c r="AK22" s="54" t="s">
        <v>198</v>
      </c>
      <c r="AL22" s="37" t="s">
        <v>311</v>
      </c>
      <c r="AM22" s="23" t="s">
        <v>312</v>
      </c>
      <c r="AN22" s="19"/>
      <c r="AO22" s="20">
        <v>18600040407</v>
      </c>
      <c r="AP22" s="37"/>
      <c r="AQ22" s="19"/>
      <c r="AR22" s="19"/>
      <c r="AS22" s="19"/>
    </row>
    <row r="23" spans="1:45" ht="15.75" customHeight="1" x14ac:dyDescent="0.35">
      <c r="A23" s="18" t="str">
        <f t="shared" si="0"/>
        <v>zhanglinyfw@inspur.com</v>
      </c>
      <c r="B23" s="18" t="str">
        <f t="shared" si="1"/>
        <v>hushj@inspur.com;;wangjinping@inspur.com;;kangzp@inspur.com;tangjing@inspur.com;</v>
      </c>
      <c r="C23" s="19" t="str">
        <f t="shared" si="2"/>
        <v>云服务集团周报数据</v>
      </c>
      <c r="D23" s="20" t="str">
        <f t="shared" si="3"/>
        <v>张总，
      您好! 附件为贵单位本周的签单/回款数据，请查阅。如有异议及时反馈。
            云服务集团市场部</v>
      </c>
      <c r="E23" s="56" t="str">
        <f t="shared" si="4"/>
        <v>F:\工作\3浪潮云服务\市场部\本次发送\工作表合并\健康监管行业部.xlsx</v>
      </c>
      <c r="F23" s="37" t="s">
        <v>199</v>
      </c>
      <c r="G23" s="30" t="s">
        <v>183</v>
      </c>
      <c r="H23" s="61">
        <v>1</v>
      </c>
      <c r="I23" s="61"/>
      <c r="J23" s="36"/>
      <c r="K23" s="38"/>
      <c r="L23" s="38"/>
      <c r="M23" s="38"/>
      <c r="N23" s="49" t="s">
        <v>199</v>
      </c>
      <c r="O23" s="1" t="s">
        <v>237</v>
      </c>
      <c r="P23" s="19"/>
      <c r="Q23" s="23" t="s">
        <v>250</v>
      </c>
      <c r="R23" s="19"/>
      <c r="S23" s="53" t="s">
        <v>199</v>
      </c>
      <c r="T23" s="37" t="s">
        <v>437</v>
      </c>
      <c r="U23" s="50" t="s">
        <v>438</v>
      </c>
      <c r="V23" s="19"/>
      <c r="W23" s="19">
        <v>18600500301</v>
      </c>
      <c r="X23" s="23" t="s">
        <v>439</v>
      </c>
      <c r="Y23" s="19"/>
      <c r="Z23" s="68" t="s">
        <v>199</v>
      </c>
      <c r="AA23" s="37" t="s">
        <v>212</v>
      </c>
      <c r="AB23" s="65" t="s">
        <v>183</v>
      </c>
      <c r="AC23" s="19"/>
      <c r="AD23" s="23" t="s">
        <v>228</v>
      </c>
      <c r="AE23" s="19"/>
      <c r="AF23" s="37"/>
      <c r="AG23" s="23"/>
      <c r="AH23" s="23" t="str">
        <f t="shared" si="5"/>
        <v>;wangjinping@inspur.com;</v>
      </c>
      <c r="AI23" s="35" t="s">
        <v>183</v>
      </c>
      <c r="AJ23" s="35" t="s">
        <v>183</v>
      </c>
      <c r="AK23" s="54" t="s">
        <v>199</v>
      </c>
      <c r="AL23" s="37"/>
      <c r="AM23" s="23"/>
      <c r="AN23" s="19"/>
      <c r="AO23" s="20"/>
      <c r="AP23" s="37"/>
      <c r="AQ23" s="19"/>
      <c r="AR23" s="19"/>
      <c r="AS23" s="19"/>
    </row>
    <row r="24" spans="1:45" ht="15.75" customHeight="1" x14ac:dyDescent="0.35">
      <c r="A24" s="18" t="str">
        <f t="shared" si="0"/>
        <v>liyz@inspur.com</v>
      </c>
      <c r="B24" s="18" t="str">
        <f t="shared" si="1"/>
        <v>suncht@inspur.com;;kanhx@inspur.com;;kangzp@inspur.com;tangjing@inspur.com;</v>
      </c>
      <c r="C24" s="19" t="str">
        <f t="shared" si="2"/>
        <v>云服务集团周报数据</v>
      </c>
      <c r="D24" s="20" t="str">
        <f t="shared" si="3"/>
        <v>李总，
      您好! 附件为贵单位本周的签单/回款数据，请查阅。如有异议及时反馈。
            云服务集团市场部</v>
      </c>
      <c r="E24" s="56" t="str">
        <f t="shared" si="4"/>
        <v>F:\工作\3浪潮云服务\市场部\本次发送\工作表合并\金融行业部.xlsx</v>
      </c>
      <c r="F24" s="37" t="s">
        <v>203</v>
      </c>
      <c r="G24" s="30" t="s">
        <v>183</v>
      </c>
      <c r="H24" s="61">
        <v>1</v>
      </c>
      <c r="I24" s="61"/>
      <c r="J24" s="36"/>
      <c r="K24" s="38"/>
      <c r="L24" s="38"/>
      <c r="M24" s="38"/>
      <c r="N24" s="49" t="s">
        <v>203</v>
      </c>
      <c r="O24" s="37" t="s">
        <v>338</v>
      </c>
      <c r="P24" s="19"/>
      <c r="Q24" s="23" t="s">
        <v>337</v>
      </c>
      <c r="R24" s="19"/>
      <c r="S24" s="53" t="s">
        <v>203</v>
      </c>
      <c r="T24" s="37" t="s">
        <v>340</v>
      </c>
      <c r="U24" s="50" t="s">
        <v>303</v>
      </c>
      <c r="V24" s="19"/>
      <c r="W24" s="19">
        <v>13905317501</v>
      </c>
      <c r="X24" s="23" t="s">
        <v>339</v>
      </c>
      <c r="Y24" s="19"/>
      <c r="Z24" s="68" t="s">
        <v>512</v>
      </c>
      <c r="AA24" s="37" t="s">
        <v>215</v>
      </c>
      <c r="AB24" s="65" t="s">
        <v>183</v>
      </c>
      <c r="AC24" s="19"/>
      <c r="AD24" s="23" t="s">
        <v>231</v>
      </c>
      <c r="AE24" s="19"/>
      <c r="AF24" s="37"/>
      <c r="AG24" s="23"/>
      <c r="AH24" s="23" t="str">
        <f t="shared" si="5"/>
        <v>;kanhx@inspur.com;</v>
      </c>
      <c r="AI24" s="35" t="s">
        <v>183</v>
      </c>
      <c r="AJ24" s="35" t="s">
        <v>183</v>
      </c>
      <c r="AK24" s="54" t="s">
        <v>203</v>
      </c>
      <c r="AL24" s="37"/>
      <c r="AM24" s="23"/>
      <c r="AN24" s="19"/>
      <c r="AO24" s="20"/>
      <c r="AP24" s="37"/>
      <c r="AQ24" s="19"/>
      <c r="AR24" s="19"/>
      <c r="AS24" s="19"/>
    </row>
    <row r="25" spans="1:45" ht="15.75" customHeight="1" x14ac:dyDescent="0.35">
      <c r="A25" s="18" t="str">
        <f t="shared" si="0"/>
        <v>jingyx@inspur.com</v>
      </c>
      <c r="B25" s="18" t="str">
        <f t="shared" si="1"/>
        <v>huhg@inspur.com;;zhanglinjun@inspur.com;;kangzp@inspur.com;tangjing@inspur.com;</v>
      </c>
      <c r="C25" s="19" t="str">
        <f t="shared" si="2"/>
        <v>云服务集团周报数据</v>
      </c>
      <c r="D25" s="20" t="str">
        <f t="shared" si="3"/>
        <v>井总，
      您好! 附件为贵单位本周的签单/回款数据，请查阅。如有异议及时反馈。
            云服务集团市场部</v>
      </c>
      <c r="E25" s="56" t="str">
        <f t="shared" si="4"/>
        <v>F:\工作\3浪潮云服务\市场部\本次发送\工作表合并\大企业市场部.xlsx</v>
      </c>
      <c r="F25" s="37" t="s">
        <v>315</v>
      </c>
      <c r="G25" s="30" t="s">
        <v>183</v>
      </c>
      <c r="H25" s="61">
        <v>1</v>
      </c>
      <c r="I25" s="61"/>
      <c r="J25" s="36"/>
      <c r="K25" s="38"/>
      <c r="L25" s="38"/>
      <c r="M25" s="38"/>
      <c r="N25" s="49" t="s">
        <v>315</v>
      </c>
      <c r="O25" s="37" t="s">
        <v>240</v>
      </c>
      <c r="P25" s="19"/>
      <c r="Q25" s="23" t="s">
        <v>314</v>
      </c>
      <c r="R25" s="19"/>
      <c r="S25" s="53" t="s">
        <v>315</v>
      </c>
      <c r="T25" s="37" t="s">
        <v>326</v>
      </c>
      <c r="U25" s="50" t="s">
        <v>327</v>
      </c>
      <c r="V25" s="19"/>
      <c r="W25" s="19">
        <v>13911226521</v>
      </c>
      <c r="X25" s="23" t="s">
        <v>325</v>
      </c>
      <c r="Y25" s="19"/>
      <c r="Z25" s="68" t="s">
        <v>515</v>
      </c>
      <c r="AA25" s="37" t="s">
        <v>216</v>
      </c>
      <c r="AB25" s="65" t="s">
        <v>183</v>
      </c>
      <c r="AC25" s="19"/>
      <c r="AD25" s="23" t="s">
        <v>233</v>
      </c>
      <c r="AE25" s="19"/>
      <c r="AF25" s="37"/>
      <c r="AG25" s="23"/>
      <c r="AH25" s="23" t="str">
        <f t="shared" si="5"/>
        <v>;zhanglinjun@inspur.com;</v>
      </c>
      <c r="AI25" s="35" t="s">
        <v>183</v>
      </c>
      <c r="AJ25" s="35" t="s">
        <v>183</v>
      </c>
      <c r="AK25" s="54" t="s">
        <v>315</v>
      </c>
      <c r="AL25" s="37"/>
      <c r="AM25" s="23"/>
      <c r="AN25" s="19"/>
      <c r="AO25" s="20"/>
      <c r="AP25" s="37"/>
      <c r="AQ25" s="19"/>
      <c r="AR25" s="19"/>
      <c r="AS25" s="19"/>
    </row>
    <row r="26" spans="1:45" ht="15.75" customHeight="1" x14ac:dyDescent="0.35">
      <c r="A26" s="18" t="str">
        <f t="shared" si="0"/>
        <v>zhengdw@inspur.com</v>
      </c>
      <c r="B26" s="18" t="str">
        <f t="shared" si="1"/>
        <v>yanggp@inspur.com;;kangzp@inspur.com;tangjing@inspur.com;</v>
      </c>
      <c r="C26" s="19" t="str">
        <f t="shared" si="2"/>
        <v>云服务集团周报数据</v>
      </c>
      <c r="D26" s="20" t="str">
        <f t="shared" si="3"/>
        <v>郑总，
      您好! 附件为贵单位本周的签单/回款数据，请查阅。如有异议及时反馈。
            云服务集团市场部</v>
      </c>
      <c r="E26" s="56" t="str">
        <f t="shared" si="4"/>
        <v>F:\工作\3浪潮云服务\市场部\本次发送\工作表合并\建筑行业部.xlsx</v>
      </c>
      <c r="F26" s="37" t="s">
        <v>411</v>
      </c>
      <c r="G26" s="39"/>
      <c r="H26" s="61">
        <v>1</v>
      </c>
      <c r="I26" s="61"/>
      <c r="J26" s="36"/>
      <c r="K26" s="38"/>
      <c r="L26" s="38"/>
      <c r="M26" s="38"/>
      <c r="N26" s="49" t="s">
        <v>411</v>
      </c>
      <c r="O26" s="37" t="s">
        <v>441</v>
      </c>
      <c r="P26" s="19"/>
      <c r="Q26" s="23" t="s">
        <v>442</v>
      </c>
      <c r="R26" s="19"/>
      <c r="S26" s="53" t="s">
        <v>411</v>
      </c>
      <c r="T26" s="37" t="s">
        <v>412</v>
      </c>
      <c r="U26" s="50" t="s">
        <v>413</v>
      </c>
      <c r="V26" s="19"/>
      <c r="W26" s="19">
        <v>18618357088</v>
      </c>
      <c r="X26" s="23" t="s">
        <v>414</v>
      </c>
      <c r="Y26" s="19"/>
      <c r="Z26" s="68"/>
      <c r="AA26" s="37"/>
      <c r="AB26" s="65" t="s">
        <v>183</v>
      </c>
      <c r="AC26" s="19"/>
      <c r="AD26" s="23"/>
      <c r="AE26" s="19"/>
      <c r="AF26" s="37"/>
      <c r="AG26" s="23"/>
      <c r="AH26" s="23"/>
      <c r="AI26" s="35"/>
      <c r="AJ26" s="35" t="s">
        <v>183</v>
      </c>
      <c r="AK26" s="54"/>
      <c r="AL26" s="37"/>
      <c r="AM26" s="23"/>
      <c r="AN26" s="19"/>
      <c r="AO26" s="20"/>
      <c r="AP26" s="37"/>
      <c r="AQ26" s="19"/>
      <c r="AR26" s="19"/>
      <c r="AS26" s="19"/>
    </row>
  </sheetData>
  <autoFilter ref="A1:AS26"/>
  <phoneticPr fontId="6" type="noConversion"/>
  <hyperlinks>
    <hyperlink ref="AM14" r:id="rId1"/>
    <hyperlink ref="AG18" r:id="rId2"/>
    <hyperlink ref="AM22" r:id="rId3"/>
    <hyperlink ref="AG17" r:id="rId4"/>
    <hyperlink ref="X17" r:id="rId5"/>
    <hyperlink ref="X25" r:id="rId6"/>
    <hyperlink ref="AS14" r:id="rId7"/>
    <hyperlink ref="X12" r:id="rId8"/>
    <hyperlink ref="X24" r:id="rId9"/>
    <hyperlink ref="X10" r:id="rId10"/>
    <hyperlink ref="AM17" r:id="rId11"/>
    <hyperlink ref="X11" r:id="rId12"/>
    <hyperlink ref="X14" r:id="rId13"/>
    <hyperlink ref="X4" r:id="rId14"/>
    <hyperlink ref="X15" r:id="rId15"/>
    <hyperlink ref="X26" r:id="rId16"/>
    <hyperlink ref="X18" r:id="rId17"/>
    <hyperlink ref="X6" r:id="rId18"/>
    <hyperlink ref="X13" r:id="rId19"/>
  </hyperlinks>
  <pageMargins left="0.7" right="0.7" top="0.75" bottom="0.75" header="0.3" footer="0.3"/>
  <pageSetup paperSize="9" orientation="portrait" r:id="rId20"/>
  <drawing r:id="rId21"/>
  <legacyDrawing r:id="rId2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6993" r:id="rId23" name="Button 1">
              <controlPr defaultSize="0" print="0" autoFill="0" autoPict="0" macro="[0]!批量发送邮件">
                <anchor moveWithCells="1">
                  <from>
                    <xdr:col>1</xdr:col>
                    <xdr:colOff>371475</xdr:colOff>
                    <xdr:row>0</xdr:row>
                    <xdr:rowOff>19050</xdr:rowOff>
                  </from>
                  <to>
                    <xdr:col>1</xdr:col>
                    <xdr:colOff>857250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AS22"/>
  <sheetViews>
    <sheetView showGridLines="0" zoomScale="90" zoomScaleNormal="9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J2" sqref="J2:M2"/>
    </sheetView>
  </sheetViews>
  <sheetFormatPr defaultRowHeight="15.75" customHeight="1" outlineLevelCol="1" x14ac:dyDescent="0.15"/>
  <cols>
    <col min="1" max="1" width="8.125" style="24" customWidth="1"/>
    <col min="2" max="2" width="11.375" style="24" customWidth="1"/>
    <col min="3" max="3" width="4.25" style="26" customWidth="1"/>
    <col min="4" max="4" width="5.125" style="26" customWidth="1"/>
    <col min="5" max="5" width="16.375" style="24" customWidth="1"/>
    <col min="6" max="6" width="7.5" style="29" customWidth="1"/>
    <col min="7" max="7" width="3.875" style="40" customWidth="1"/>
    <col min="8" max="8" width="2.625" style="40" customWidth="1"/>
    <col min="9" max="9" width="7.625" style="40" customWidth="1"/>
    <col min="10" max="10" width="4.875" style="40" customWidth="1"/>
    <col min="11" max="11" width="5" style="26" customWidth="1"/>
    <col min="12" max="12" width="4.25" style="26" customWidth="1"/>
    <col min="13" max="13" width="7.75" style="26" customWidth="1"/>
    <col min="14" max="14" width="4.5" style="41" customWidth="1"/>
    <col min="15" max="15" width="6.375" style="29" customWidth="1"/>
    <col min="16" max="16" width="15.875" style="26" hidden="1" customWidth="1"/>
    <col min="17" max="17" width="5.25" style="42" customWidth="1"/>
    <col min="18" max="18" width="10.75" style="26" hidden="1" customWidth="1"/>
    <col min="19" max="19" width="4.5" style="43" customWidth="1"/>
    <col min="20" max="20" width="5.5" style="29" customWidth="1"/>
    <col min="21" max="21" width="5.75" style="26" customWidth="1"/>
    <col min="22" max="22" width="3.25" style="26" hidden="1" customWidth="1"/>
    <col min="23" max="23" width="11.625" style="26" customWidth="1"/>
    <col min="24" max="24" width="4.625" style="25" customWidth="1"/>
    <col min="25" max="25" width="12" style="26" hidden="1" customWidth="1"/>
    <col min="26" max="26" width="5.25" style="24" customWidth="1"/>
    <col min="27" max="27" width="8" style="26" customWidth="1"/>
    <col min="28" max="28" width="7.25" style="26" hidden="1" customWidth="1"/>
    <col min="29" max="29" width="12.25" style="26" hidden="1" customWidth="1"/>
    <col min="30" max="30" width="5.125" style="25" customWidth="1"/>
    <col min="31" max="31" width="8.25" style="26" hidden="1" customWidth="1"/>
    <col min="32" max="32" width="7" style="26" customWidth="1" outlineLevel="1"/>
    <col min="33" max="33" width="3.875" style="25" customWidth="1" outlineLevel="1"/>
    <col min="34" max="34" width="5.125" style="25" customWidth="1" outlineLevel="1"/>
    <col min="35" max="35" width="3.5" style="26" customWidth="1" outlineLevel="1"/>
    <col min="36" max="36" width="2.75" style="26" customWidth="1" outlineLevel="1"/>
    <col min="37" max="37" width="10.875" style="26" customWidth="1" outlineLevel="1"/>
    <col min="38" max="38" width="7.75" style="29" customWidth="1" outlineLevel="1"/>
    <col min="39" max="39" width="5.625" style="25" customWidth="1" outlineLevel="1"/>
    <col min="40" max="40" width="7.5" style="26" customWidth="1" outlineLevel="1"/>
    <col min="41" max="41" width="12.875" style="43" customWidth="1" outlineLevel="1"/>
    <col min="42" max="42" width="6.25" style="26" customWidth="1" outlineLevel="1"/>
    <col min="43" max="43" width="7" style="26" customWidth="1" outlineLevel="1"/>
    <col min="44" max="44" width="14.5" style="26" customWidth="1" outlineLevel="1"/>
    <col min="45" max="45" width="9" style="26" customWidth="1" outlineLevel="1"/>
    <col min="46" max="16384" width="9" style="26"/>
  </cols>
  <sheetData>
    <row r="1" spans="1:45" s="29" customFormat="1" ht="15.75" customHeight="1" x14ac:dyDescent="0.35">
      <c r="A1" s="66" t="s">
        <v>3</v>
      </c>
      <c r="B1" s="66" t="s">
        <v>4</v>
      </c>
      <c r="C1" s="14" t="s">
        <v>0</v>
      </c>
      <c r="D1" s="14" t="s">
        <v>1</v>
      </c>
      <c r="E1" s="66" t="s">
        <v>2</v>
      </c>
      <c r="F1" s="14" t="s">
        <v>6</v>
      </c>
      <c r="G1" s="14"/>
      <c r="H1" s="14" t="s">
        <v>188</v>
      </c>
      <c r="I1" s="14" t="s">
        <v>271</v>
      </c>
      <c r="J1" s="14" t="s">
        <v>0</v>
      </c>
      <c r="K1" s="14" t="s">
        <v>245</v>
      </c>
      <c r="L1" s="14" t="s">
        <v>290</v>
      </c>
      <c r="M1" s="14" t="s">
        <v>291</v>
      </c>
      <c r="N1" s="10" t="s">
        <v>113</v>
      </c>
      <c r="O1" s="10" t="s">
        <v>158</v>
      </c>
      <c r="P1" s="11" t="s">
        <v>8</v>
      </c>
      <c r="Q1" s="12" t="s">
        <v>436</v>
      </c>
      <c r="R1" s="10" t="s">
        <v>9</v>
      </c>
      <c r="S1" s="51" t="s">
        <v>140</v>
      </c>
      <c r="T1" s="13" t="s">
        <v>156</v>
      </c>
      <c r="U1" s="13" t="s">
        <v>273</v>
      </c>
      <c r="V1" s="13" t="s">
        <v>141</v>
      </c>
      <c r="W1" s="13" t="s">
        <v>63</v>
      </c>
      <c r="X1" s="44" t="s">
        <v>142</v>
      </c>
      <c r="Y1" s="13" t="s">
        <v>9</v>
      </c>
      <c r="Z1" s="66" t="s">
        <v>5</v>
      </c>
      <c r="AA1" s="14" t="s">
        <v>157</v>
      </c>
      <c r="AB1" s="14" t="s">
        <v>62</v>
      </c>
      <c r="AC1" s="14" t="s">
        <v>63</v>
      </c>
      <c r="AD1" s="55" t="s">
        <v>64</v>
      </c>
      <c r="AE1" s="14" t="s">
        <v>159</v>
      </c>
      <c r="AF1" s="14" t="s">
        <v>243</v>
      </c>
      <c r="AG1" s="55" t="s">
        <v>244</v>
      </c>
      <c r="AH1" s="55" t="s">
        <v>269</v>
      </c>
      <c r="AI1" s="27" t="s">
        <v>183</v>
      </c>
      <c r="AJ1" s="14"/>
      <c r="AK1" s="14" t="s">
        <v>5</v>
      </c>
      <c r="AL1" s="14" t="s">
        <v>259</v>
      </c>
      <c r="AM1" s="55" t="s">
        <v>244</v>
      </c>
      <c r="AN1" s="14" t="s">
        <v>159</v>
      </c>
      <c r="AO1" s="28" t="s">
        <v>301</v>
      </c>
      <c r="AP1" s="14"/>
      <c r="AQ1" s="14"/>
      <c r="AR1" s="14"/>
      <c r="AS1" s="14"/>
    </row>
    <row r="2" spans="1:45" ht="15.75" customHeight="1" x14ac:dyDescent="0.35">
      <c r="A2" s="15" t="str">
        <f t="shared" ref="A2:A22" si="0">IF(ISBLANK(X2),"",X2)</f>
        <v>shenfh@inspur.com</v>
      </c>
      <c r="B2" s="15" t="str">
        <f>Q2&amp;$L$2&amp;AH2</f>
        <v>shenfh@inspur.com;;shenfh@inspur.com;</v>
      </c>
      <c r="C2" s="16" t="str">
        <f>$J$2</f>
        <v>云服务集团周报数据</v>
      </c>
      <c r="D2" s="17" t="str">
        <f>U2&amp;$M$2</f>
        <v>A总，
      您好! 附件为贵单位本周的签单/回款数据，请查阅。如有异议及时反馈。
            云服务集团市场部</v>
      </c>
      <c r="E2" s="15" t="str">
        <f>"F:\工作\3浪潮云服务\市场部\本次发送\工作表合并\"&amp;F2&amp;".xlsx"</f>
        <v>F:\工作\3浪潮云服务\市场部\本次发送\工作表合并\测试.xlsx</v>
      </c>
      <c r="F2" s="57" t="s">
        <v>7</v>
      </c>
      <c r="G2" s="30" t="s">
        <v>183</v>
      </c>
      <c r="H2" s="60">
        <v>1</v>
      </c>
      <c r="I2" s="60"/>
      <c r="J2" s="31" t="s">
        <v>432</v>
      </c>
      <c r="K2" s="16" t="s">
        <v>246</v>
      </c>
      <c r="L2" s="16" t="s">
        <v>258</v>
      </c>
      <c r="M2" s="79" t="s">
        <v>540</v>
      </c>
      <c r="N2" s="5" t="s">
        <v>174</v>
      </c>
      <c r="O2" s="6" t="s">
        <v>184</v>
      </c>
      <c r="P2" s="7">
        <v>15589965595</v>
      </c>
      <c r="Q2" s="25" t="s">
        <v>299</v>
      </c>
      <c r="R2" s="6"/>
      <c r="S2" s="52"/>
      <c r="T2" s="9" t="s">
        <v>186</v>
      </c>
      <c r="U2" s="9" t="s">
        <v>274</v>
      </c>
      <c r="V2" s="8"/>
      <c r="W2" s="45">
        <v>15589965595</v>
      </c>
      <c r="X2" s="45" t="s">
        <v>299</v>
      </c>
      <c r="Y2" s="9"/>
      <c r="Z2" s="67"/>
      <c r="AA2" s="33" t="s">
        <v>185</v>
      </c>
      <c r="AB2" s="62" t="s">
        <v>183</v>
      </c>
      <c r="AC2" s="33">
        <v>15589965595</v>
      </c>
      <c r="AD2" s="23" t="s">
        <v>299</v>
      </c>
      <c r="AE2" s="34"/>
      <c r="AF2" s="63" t="s">
        <v>183</v>
      </c>
      <c r="AG2" s="56"/>
      <c r="AH2" s="56" t="str">
        <f>AM2&amp;";"&amp;AD2&amp;";"&amp;AG2</f>
        <v>;shenfh@inspur.com;</v>
      </c>
      <c r="AI2" s="35" t="s">
        <v>183</v>
      </c>
      <c r="AJ2" s="35" t="s">
        <v>183</v>
      </c>
      <c r="AK2" s="58"/>
      <c r="AL2" s="37"/>
      <c r="AM2" s="23"/>
      <c r="AN2" s="19"/>
      <c r="AO2" s="20"/>
      <c r="AP2" s="19"/>
      <c r="AQ2" s="19"/>
      <c r="AR2" s="19"/>
      <c r="AS2" s="19"/>
    </row>
    <row r="3" spans="1:45" ht="16.5" customHeight="1" x14ac:dyDescent="0.35">
      <c r="A3" s="18" t="str">
        <f t="shared" si="0"/>
        <v>zhaoww@inspur.com</v>
      </c>
      <c r="B3" s="18" t="str">
        <f t="shared" ref="B3:B22" si="1">Q3&amp;$L$2&amp;AH3&amp;$L$2&amp;$K$2</f>
        <v>zhangge@inspur.com;;zhuln@inspur.com;;kangzp@inspur.com;tangjing@inspur.com;shenfh@inspur.com</v>
      </c>
      <c r="C3" s="19" t="str">
        <f t="shared" ref="C3:C22" si="2">$J$2</f>
        <v>云服务集团周报数据</v>
      </c>
      <c r="D3" s="20" t="str">
        <f t="shared" ref="D3:D22" si="3">U3&amp;$M$2</f>
        <v>赵总，
      您好! 附件为贵单位本周的签单/回款数据，请查阅。如有异议及时反馈。
            云服务集团市场部</v>
      </c>
      <c r="E3" s="15" t="str">
        <f t="shared" ref="E3:E22" si="4">"F:\工作\3浪潮云服务\市场部\本次发送\工作表合并\"&amp;F3&amp;".xlsx"</f>
        <v>F:\工作\3浪潮云服务\市场部\本次发送\工作表合并\山东区.xlsx</v>
      </c>
      <c r="F3" s="69" t="s">
        <v>365</v>
      </c>
      <c r="G3" s="30"/>
      <c r="H3" s="61">
        <v>1</v>
      </c>
      <c r="I3" s="61"/>
      <c r="J3" s="36"/>
      <c r="M3" s="59" t="s">
        <v>318</v>
      </c>
      <c r="N3" s="46" t="s">
        <v>65</v>
      </c>
      <c r="O3" s="1" t="s">
        <v>40</v>
      </c>
      <c r="P3" s="1">
        <v>13305319906</v>
      </c>
      <c r="Q3" s="23" t="s">
        <v>41</v>
      </c>
      <c r="R3" s="21"/>
      <c r="S3" s="53" t="s">
        <v>443</v>
      </c>
      <c r="T3" s="37" t="s">
        <v>150</v>
      </c>
      <c r="U3" s="50" t="s">
        <v>275</v>
      </c>
      <c r="V3" s="19" t="s">
        <v>165</v>
      </c>
      <c r="W3" s="19">
        <v>15805316658</v>
      </c>
      <c r="X3" s="23" t="s">
        <v>304</v>
      </c>
      <c r="Y3" s="19"/>
      <c r="Z3" s="68" t="s">
        <v>443</v>
      </c>
      <c r="AA3" s="37" t="s">
        <v>444</v>
      </c>
      <c r="AB3" s="19" t="s">
        <v>66</v>
      </c>
      <c r="AC3" s="19">
        <v>18905310812</v>
      </c>
      <c r="AD3" s="23" t="s">
        <v>175</v>
      </c>
      <c r="AE3" s="19"/>
      <c r="AF3" s="64" t="s">
        <v>183</v>
      </c>
      <c r="AG3" s="23"/>
      <c r="AH3" s="23" t="str">
        <f t="shared" ref="AH3:AH21" si="5">AM3&amp;";"&amp;AD3&amp;";"&amp;AG3</f>
        <v>;zhuln@inspur.com;</v>
      </c>
      <c r="AI3" s="35" t="s">
        <v>183</v>
      </c>
      <c r="AJ3" s="35" t="s">
        <v>183</v>
      </c>
      <c r="AK3" s="54" t="s">
        <v>65</v>
      </c>
      <c r="AL3" s="37"/>
      <c r="AM3" s="23"/>
      <c r="AN3" s="19"/>
      <c r="AO3" s="20"/>
      <c r="AP3" s="37" t="s">
        <v>190</v>
      </c>
      <c r="AQ3" s="19" t="s">
        <v>217</v>
      </c>
      <c r="AR3" s="19"/>
      <c r="AS3" s="19"/>
    </row>
    <row r="4" spans="1:45" ht="15" customHeight="1" x14ac:dyDescent="0.35">
      <c r="A4" s="18" t="str">
        <f t="shared" si="0"/>
        <v>yangxubin@inspur.com</v>
      </c>
      <c r="B4" s="18" t="str">
        <f t="shared" si="1"/>
        <v>sunhb@inspur.com;;siyj@inspur.com;xuwenjun@inspur.com;kangzp@inspur.com;tangjing@inspur.com;shenfh@inspur.com</v>
      </c>
      <c r="C4" s="19" t="str">
        <f t="shared" si="2"/>
        <v>云服务集团周报数据</v>
      </c>
      <c r="D4" s="20" t="str">
        <f t="shared" si="3"/>
        <v>杨总，
      您好! 附件为贵单位本周的签单/回款数据，请查阅。如有异议及时反馈。
            云服务集团市场部</v>
      </c>
      <c r="E4" s="56" t="str">
        <f t="shared" si="4"/>
        <v>F:\工作\3浪潮云服务\市场部\本次发送\工作表合并\广东区.xlsx</v>
      </c>
      <c r="F4" s="70" t="s">
        <v>366</v>
      </c>
      <c r="G4" s="30"/>
      <c r="H4" s="61">
        <v>1</v>
      </c>
      <c r="I4" s="78" t="s">
        <v>440</v>
      </c>
      <c r="J4" s="36"/>
      <c r="M4" s="59" t="s">
        <v>317</v>
      </c>
      <c r="N4" s="46" t="s">
        <v>67</v>
      </c>
      <c r="O4" s="1" t="s">
        <v>14</v>
      </c>
      <c r="P4" s="1">
        <v>13705316901</v>
      </c>
      <c r="Q4" s="23" t="s">
        <v>15</v>
      </c>
      <c r="R4" s="21"/>
      <c r="S4" s="53" t="s">
        <v>445</v>
      </c>
      <c r="T4" s="37" t="s">
        <v>402</v>
      </c>
      <c r="U4" s="50" t="s">
        <v>403</v>
      </c>
      <c r="V4" s="19"/>
      <c r="W4" s="19">
        <v>13332883876</v>
      </c>
      <c r="X4" s="23" t="s">
        <v>401</v>
      </c>
      <c r="Y4" s="19"/>
      <c r="Z4" s="68" t="s">
        <v>445</v>
      </c>
      <c r="AA4" s="37" t="s">
        <v>446</v>
      </c>
      <c r="AB4" s="19" t="s">
        <v>68</v>
      </c>
      <c r="AC4" s="19">
        <v>13711668336</v>
      </c>
      <c r="AD4" s="23" t="s">
        <v>69</v>
      </c>
      <c r="AE4" s="19"/>
      <c r="AF4" s="37" t="s">
        <v>191</v>
      </c>
      <c r="AG4" s="23" t="s">
        <v>218</v>
      </c>
      <c r="AH4" s="23" t="str">
        <f t="shared" si="5"/>
        <v>;siyj@inspur.com;xuwenjun@inspur.com</v>
      </c>
      <c r="AI4" s="35" t="s">
        <v>183</v>
      </c>
      <c r="AJ4" s="35" t="s">
        <v>183</v>
      </c>
      <c r="AK4" s="54" t="s">
        <v>67</v>
      </c>
      <c r="AL4" s="37"/>
      <c r="AM4" s="23"/>
      <c r="AN4" s="19"/>
      <c r="AO4" s="20"/>
      <c r="AP4" s="37"/>
      <c r="AQ4" s="19"/>
      <c r="AR4" s="19"/>
      <c r="AS4" s="19"/>
    </row>
    <row r="5" spans="1:45" ht="15.75" customHeight="1" x14ac:dyDescent="0.35">
      <c r="A5" s="18" t="str">
        <f t="shared" si="0"/>
        <v>weichy@inspur.com</v>
      </c>
      <c r="B5" s="18" t="str">
        <f t="shared" si="1"/>
        <v>zhangyongli@inspur.com;;suyj@inspur.com;;kangzp@inspur.com;tangjing@inspur.com;shenfh@inspur.com</v>
      </c>
      <c r="C5" s="19" t="str">
        <f t="shared" si="2"/>
        <v>云服务集团周报数据</v>
      </c>
      <c r="D5" s="20" t="str">
        <f t="shared" si="3"/>
        <v>魏总，
      您好! 附件为贵单位本周的签单/回款数据，请查阅。如有异议及时反馈。
            云服务集团市场部</v>
      </c>
      <c r="E5" s="56" t="str">
        <f t="shared" si="4"/>
        <v>F:\工作\3浪潮云服务\市场部\本次发送\工作表合并\河南区.xlsx</v>
      </c>
      <c r="F5" s="70" t="s">
        <v>370</v>
      </c>
      <c r="G5" s="30"/>
      <c r="H5" s="61">
        <v>1</v>
      </c>
      <c r="I5" s="61" t="s">
        <v>389</v>
      </c>
      <c r="J5" s="36"/>
      <c r="N5" s="46" t="s">
        <v>72</v>
      </c>
      <c r="O5" s="1" t="s">
        <v>58</v>
      </c>
      <c r="P5" s="1">
        <v>18866808217</v>
      </c>
      <c r="Q5" s="23" t="s">
        <v>59</v>
      </c>
      <c r="R5" s="21"/>
      <c r="S5" s="53" t="s">
        <v>453</v>
      </c>
      <c r="T5" s="37" t="s">
        <v>152</v>
      </c>
      <c r="U5" s="50" t="s">
        <v>277</v>
      </c>
      <c r="V5" s="19"/>
      <c r="W5" s="19">
        <v>13605319537</v>
      </c>
      <c r="X5" s="23" t="s">
        <v>168</v>
      </c>
      <c r="Y5" s="19"/>
      <c r="Z5" s="68" t="s">
        <v>453</v>
      </c>
      <c r="AA5" s="37" t="s">
        <v>454</v>
      </c>
      <c r="AB5" s="19" t="s">
        <v>73</v>
      </c>
      <c r="AC5" s="19">
        <v>13343823810</v>
      </c>
      <c r="AD5" s="23" t="s">
        <v>178</v>
      </c>
      <c r="AE5" s="19"/>
      <c r="AF5" s="37"/>
      <c r="AG5" s="23" t="s">
        <v>183</v>
      </c>
      <c r="AH5" s="23" t="str">
        <f t="shared" si="5"/>
        <v>;suyj@inspur.com;</v>
      </c>
      <c r="AI5" s="35" t="s">
        <v>183</v>
      </c>
      <c r="AJ5" s="35" t="s">
        <v>183</v>
      </c>
      <c r="AK5" s="54" t="s">
        <v>136</v>
      </c>
      <c r="AL5" s="37"/>
      <c r="AM5" s="23"/>
      <c r="AN5" s="19"/>
      <c r="AO5" s="20"/>
      <c r="AP5" s="37"/>
      <c r="AQ5" s="19"/>
      <c r="AR5" s="19"/>
      <c r="AS5" s="19"/>
    </row>
    <row r="6" spans="1:45" ht="15.75" customHeight="1" x14ac:dyDescent="0.35">
      <c r="A6" s="18" t="str">
        <f t="shared" si="0"/>
        <v>yangyang1@inspur.com</v>
      </c>
      <c r="B6" s="18" t="str">
        <f t="shared" si="1"/>
        <v>chenglm@inspur.com;;hongyuan@inspur.com;;kangzp@inspur.com;tangjing@inspur.com;shenfh@inspur.com</v>
      </c>
      <c r="C6" s="19" t="str">
        <f t="shared" si="2"/>
        <v>云服务集团周报数据</v>
      </c>
      <c r="D6" s="20" t="str">
        <f t="shared" si="3"/>
        <v>杨总，
      您好! 附件为贵单位本周的签单/回款数据，请查阅。如有异议及时反馈。
            云服务集团市场部</v>
      </c>
      <c r="E6" s="56" t="str">
        <f t="shared" si="4"/>
        <v>F:\工作\3浪潮云服务\市场部\本次发送\工作表合并\安徽区.xlsx</v>
      </c>
      <c r="F6" s="70" t="s">
        <v>371</v>
      </c>
      <c r="G6" s="30"/>
      <c r="H6" s="61">
        <v>1</v>
      </c>
      <c r="I6" s="61" t="s">
        <v>372</v>
      </c>
      <c r="J6" s="36"/>
      <c r="N6" s="46" t="s">
        <v>75</v>
      </c>
      <c r="O6" s="1" t="s">
        <v>10</v>
      </c>
      <c r="P6" s="1">
        <v>13349090001</v>
      </c>
      <c r="Q6" s="23" t="s">
        <v>11</v>
      </c>
      <c r="R6" s="21"/>
      <c r="S6" s="53" t="s">
        <v>455</v>
      </c>
      <c r="T6" s="37" t="s">
        <v>423</v>
      </c>
      <c r="U6" s="50" t="s">
        <v>406</v>
      </c>
      <c r="V6" s="19"/>
      <c r="W6" s="19">
        <v>18956068989</v>
      </c>
      <c r="X6" s="23" t="s">
        <v>425</v>
      </c>
      <c r="Y6" s="19"/>
      <c r="Z6" s="68" t="s">
        <v>456</v>
      </c>
      <c r="AA6" s="37" t="s">
        <v>457</v>
      </c>
      <c r="AB6" s="19" t="s">
        <v>66</v>
      </c>
      <c r="AC6" s="19">
        <v>15656054271</v>
      </c>
      <c r="AD6" s="23" t="s">
        <v>76</v>
      </c>
      <c r="AE6" s="19"/>
      <c r="AF6" s="37"/>
      <c r="AG6" s="23" t="s">
        <v>183</v>
      </c>
      <c r="AH6" s="23" t="str">
        <f t="shared" si="5"/>
        <v>;hongyuan@inspur.com;</v>
      </c>
      <c r="AI6" s="35" t="s">
        <v>183</v>
      </c>
      <c r="AJ6" s="35" t="s">
        <v>183</v>
      </c>
      <c r="AK6" s="54" t="s">
        <v>135</v>
      </c>
      <c r="AL6" s="37"/>
      <c r="AM6" s="23"/>
      <c r="AN6" s="19"/>
      <c r="AO6" s="20"/>
      <c r="AP6" s="37"/>
      <c r="AQ6" s="19"/>
      <c r="AR6" s="19"/>
      <c r="AS6" s="19"/>
    </row>
    <row r="7" spans="1:45" ht="15.75" customHeight="1" x14ac:dyDescent="0.35">
      <c r="A7" s="18" t="str">
        <f t="shared" si="0"/>
        <v>tuhua@inspur.com</v>
      </c>
      <c r="B7" s="18" t="str">
        <f t="shared" si="1"/>
        <v>hujun@inspur.com;;liuff@inspur.com;liaoc@inspur.com;kangzp@inspur.com;tangjing@inspur.com;shenfh@inspur.com</v>
      </c>
      <c r="C7" s="19" t="str">
        <f t="shared" si="2"/>
        <v>云服务集团周报数据</v>
      </c>
      <c r="D7" s="20" t="str">
        <f t="shared" si="3"/>
        <v>涂总，
      您好! 附件为贵单位本周的签单/回款数据，请查阅。如有异议及时反馈。
            云服务集团市场部</v>
      </c>
      <c r="E7" s="56" t="str">
        <f t="shared" si="4"/>
        <v>F:\工作\3浪潮云服务\市场部\本次发送\工作表合并\湖北区.xlsx</v>
      </c>
      <c r="F7" s="70" t="s">
        <v>372</v>
      </c>
      <c r="G7" s="30"/>
      <c r="H7" s="61">
        <v>1</v>
      </c>
      <c r="I7" s="61" t="s">
        <v>336</v>
      </c>
      <c r="J7" s="36"/>
      <c r="N7" s="46" t="s">
        <v>74</v>
      </c>
      <c r="O7" s="1" t="s">
        <v>26</v>
      </c>
      <c r="P7" s="1">
        <v>13387554488</v>
      </c>
      <c r="Q7" s="23" t="s">
        <v>27</v>
      </c>
      <c r="R7" s="21"/>
      <c r="S7" s="53" t="s">
        <v>134</v>
      </c>
      <c r="T7" s="37" t="s">
        <v>153</v>
      </c>
      <c r="U7" s="50" t="s">
        <v>278</v>
      </c>
      <c r="V7" s="19"/>
      <c r="W7" s="19">
        <v>18627079899</v>
      </c>
      <c r="X7" s="23" t="s">
        <v>306</v>
      </c>
      <c r="Y7" s="19"/>
      <c r="Z7" s="68" t="s">
        <v>458</v>
      </c>
      <c r="AA7" s="37" t="s">
        <v>459</v>
      </c>
      <c r="AB7" s="19" t="s">
        <v>73</v>
      </c>
      <c r="AC7" s="19">
        <v>18607145067</v>
      </c>
      <c r="AD7" s="23" t="s">
        <v>179</v>
      </c>
      <c r="AE7" s="19"/>
      <c r="AF7" s="37" t="s">
        <v>518</v>
      </c>
      <c r="AG7" s="23" t="s">
        <v>219</v>
      </c>
      <c r="AH7" s="23" t="str">
        <f t="shared" si="5"/>
        <v>;liuff@inspur.com;liaoc@inspur.com</v>
      </c>
      <c r="AI7" s="35" t="s">
        <v>183</v>
      </c>
      <c r="AJ7" s="35" t="s">
        <v>183</v>
      </c>
      <c r="AK7" s="54" t="s">
        <v>134</v>
      </c>
      <c r="AL7" s="37"/>
      <c r="AM7" s="23"/>
      <c r="AN7" s="19"/>
      <c r="AO7" s="20"/>
      <c r="AP7" s="37"/>
      <c r="AQ7" s="19"/>
      <c r="AR7" s="19"/>
      <c r="AS7" s="19"/>
    </row>
    <row r="8" spans="1:45" ht="15.75" customHeight="1" x14ac:dyDescent="0.35">
      <c r="A8" s="18" t="str">
        <f t="shared" si="0"/>
        <v>suiky@inspur.com</v>
      </c>
      <c r="B8" s="18" t="str">
        <f t="shared" si="1"/>
        <v>jilei@inspur.com;;guohui@inspur.com;wangmx@inspur.com;kangzp@inspur.com;tangjing@inspur.com;shenfh@inspur.com</v>
      </c>
      <c r="C8" s="19" t="str">
        <f t="shared" si="2"/>
        <v>云服务集团周报数据</v>
      </c>
      <c r="D8" s="20" t="str">
        <f t="shared" si="3"/>
        <v>隋总，
      您好! 附件为贵单位本周的签单/回款数据，请查阅。如有异议及时反馈。
            云服务集团市场部</v>
      </c>
      <c r="E8" s="56" t="str">
        <f t="shared" si="4"/>
        <v>F:\工作\3浪潮云服务\市场部\本次发送\工作表合并\山西区.xlsx</v>
      </c>
      <c r="F8" s="70" t="s">
        <v>374</v>
      </c>
      <c r="G8" s="30"/>
      <c r="H8" s="61">
        <v>1</v>
      </c>
      <c r="I8" s="61" t="s">
        <v>393</v>
      </c>
      <c r="J8" s="36"/>
      <c r="N8" s="46" t="s">
        <v>79</v>
      </c>
      <c r="O8" s="1" t="s">
        <v>42</v>
      </c>
      <c r="P8" s="1">
        <v>13853199927</v>
      </c>
      <c r="Q8" s="23" t="s">
        <v>43</v>
      </c>
      <c r="R8" s="21"/>
      <c r="S8" s="53" t="s">
        <v>132</v>
      </c>
      <c r="T8" s="37" t="s">
        <v>144</v>
      </c>
      <c r="U8" s="50" t="s">
        <v>279</v>
      </c>
      <c r="V8" s="19" t="s">
        <v>165</v>
      </c>
      <c r="W8" s="19">
        <v>18660177898</v>
      </c>
      <c r="X8" s="23" t="s">
        <v>145</v>
      </c>
      <c r="Y8" s="19"/>
      <c r="Z8" s="68" t="s">
        <v>462</v>
      </c>
      <c r="AA8" s="37" t="s">
        <v>463</v>
      </c>
      <c r="AB8" s="19" t="s">
        <v>80</v>
      </c>
      <c r="AC8" s="19">
        <v>13403450091</v>
      </c>
      <c r="AD8" s="23" t="s">
        <v>180</v>
      </c>
      <c r="AE8" s="19"/>
      <c r="AF8" s="37" t="s">
        <v>519</v>
      </c>
      <c r="AG8" s="23" t="s">
        <v>220</v>
      </c>
      <c r="AH8" s="23" t="str">
        <f t="shared" si="5"/>
        <v>;guohui@inspur.com;wangmx@inspur.com</v>
      </c>
      <c r="AI8" s="35" t="s">
        <v>183</v>
      </c>
      <c r="AJ8" s="35" t="s">
        <v>183</v>
      </c>
      <c r="AK8" s="54" t="s">
        <v>132</v>
      </c>
      <c r="AL8" s="37"/>
      <c r="AM8" s="23"/>
      <c r="AN8" s="19"/>
      <c r="AO8" s="20"/>
      <c r="AP8" s="37"/>
      <c r="AQ8" s="19"/>
      <c r="AR8" s="19"/>
      <c r="AS8" s="19"/>
    </row>
    <row r="9" spans="1:45" ht="15.75" customHeight="1" x14ac:dyDescent="0.35">
      <c r="A9" s="18" t="str">
        <f t="shared" si="0"/>
        <v>liyu@inspur.com</v>
      </c>
      <c r="B9" s="18" t="str">
        <f t="shared" si="1"/>
        <v>zhangdch@inspur.com;baoqh@inspur.com;gaozhenqi@inspur.com;;kangzp@inspur.com;tangjing@inspur.com;shenfh@inspur.com</v>
      </c>
      <c r="C9" s="19" t="str">
        <f t="shared" si="2"/>
        <v>云服务集团周报数据</v>
      </c>
      <c r="D9" s="20" t="str">
        <f t="shared" si="3"/>
        <v>李总，
      您好! 附件为贵单位本周的签单/回款数据，请查阅。如有异议及时反馈。
            云服务集团市场部</v>
      </c>
      <c r="E9" s="56" t="str">
        <f t="shared" si="4"/>
        <v>F:\工作\3浪潮云服务\市场部\本次发送\工作表合并\黑龙江区.xlsx</v>
      </c>
      <c r="F9" s="70" t="s">
        <v>377</v>
      </c>
      <c r="G9" s="30"/>
      <c r="H9" s="61">
        <v>1</v>
      </c>
      <c r="I9" s="61" t="s">
        <v>385</v>
      </c>
      <c r="J9" s="36"/>
      <c r="N9" s="46" t="s">
        <v>84</v>
      </c>
      <c r="O9" s="1" t="s">
        <v>24</v>
      </c>
      <c r="P9" s="1">
        <v>13384517868</v>
      </c>
      <c r="Q9" s="23" t="s">
        <v>25</v>
      </c>
      <c r="R9" s="21"/>
      <c r="S9" s="53" t="s">
        <v>129</v>
      </c>
      <c r="T9" s="37" t="s">
        <v>346</v>
      </c>
      <c r="U9" s="50" t="s">
        <v>303</v>
      </c>
      <c r="V9" s="19" t="s">
        <v>302</v>
      </c>
      <c r="W9" s="19">
        <v>13940374567</v>
      </c>
      <c r="X9" s="23" t="s">
        <v>307</v>
      </c>
      <c r="Y9" s="19"/>
      <c r="Z9" s="68" t="s">
        <v>468</v>
      </c>
      <c r="AA9" s="37" t="s">
        <v>469</v>
      </c>
      <c r="AB9" s="19" t="s">
        <v>66</v>
      </c>
      <c r="AC9" s="19"/>
      <c r="AD9" s="23" t="s">
        <v>342</v>
      </c>
      <c r="AE9" s="19"/>
      <c r="AF9" s="37"/>
      <c r="AG9" s="23" t="s">
        <v>183</v>
      </c>
      <c r="AH9" s="23" t="str">
        <f t="shared" si="5"/>
        <v>baoqh@inspur.com;gaozhenqi@inspur.com;</v>
      </c>
      <c r="AI9" s="35" t="s">
        <v>183</v>
      </c>
      <c r="AJ9" s="35" t="s">
        <v>183</v>
      </c>
      <c r="AK9" s="54" t="s">
        <v>129</v>
      </c>
      <c r="AL9" s="37" t="s">
        <v>349</v>
      </c>
      <c r="AM9" s="23" t="s">
        <v>348</v>
      </c>
      <c r="AN9" s="19" t="s">
        <v>350</v>
      </c>
      <c r="AO9" s="20"/>
      <c r="AP9" s="37"/>
      <c r="AQ9" s="19"/>
      <c r="AR9" s="19"/>
      <c r="AS9" s="19"/>
    </row>
    <row r="10" spans="1:45" ht="15.75" customHeight="1" x14ac:dyDescent="0.35">
      <c r="A10" s="18" t="str">
        <f t="shared" si="0"/>
        <v>raosm@inspur.com</v>
      </c>
      <c r="B10" s="18" t="str">
        <f t="shared" si="1"/>
        <v>xujd@inspur.com;;suting@inspur.com;;kangzp@inspur.com;tangjing@inspur.com;shenfh@inspur.com</v>
      </c>
      <c r="C10" s="19" t="str">
        <f t="shared" si="2"/>
        <v>云服务集团周报数据</v>
      </c>
      <c r="D10" s="20" t="str">
        <f t="shared" si="3"/>
        <v>饶总，
      您好! 附件为贵单位本周的签单/回款数据，请查阅。如有异议及时反馈。
            云服务集团市场部</v>
      </c>
      <c r="E10" s="56" t="str">
        <f t="shared" si="4"/>
        <v>F:\工作\3浪潮云服务\市场部\本次发送\工作表合并\江西区.xlsx</v>
      </c>
      <c r="F10" s="70" t="s">
        <v>380</v>
      </c>
      <c r="G10" s="30"/>
      <c r="H10" s="61">
        <v>1</v>
      </c>
      <c r="I10" s="61" t="s">
        <v>371</v>
      </c>
      <c r="J10" s="36"/>
      <c r="N10" s="46" t="s">
        <v>82</v>
      </c>
      <c r="O10" s="1" t="s">
        <v>60</v>
      </c>
      <c r="P10" s="1">
        <v>13911059500</v>
      </c>
      <c r="Q10" s="23" t="s">
        <v>61</v>
      </c>
      <c r="R10" s="21"/>
      <c r="S10" s="53" t="s">
        <v>474</v>
      </c>
      <c r="T10" s="37" t="s">
        <v>358</v>
      </c>
      <c r="U10" s="50" t="s">
        <v>359</v>
      </c>
      <c r="V10" s="19"/>
      <c r="W10" s="19">
        <v>13307913066</v>
      </c>
      <c r="X10" s="23" t="s">
        <v>360</v>
      </c>
      <c r="Y10" s="19"/>
      <c r="Z10" s="68" t="s">
        <v>474</v>
      </c>
      <c r="AA10" s="37" t="s">
        <v>475</v>
      </c>
      <c r="AB10" s="19" t="s">
        <v>66</v>
      </c>
      <c r="AC10" s="19">
        <v>18679171137</v>
      </c>
      <c r="AD10" s="23" t="s">
        <v>182</v>
      </c>
      <c r="AE10" s="19"/>
      <c r="AF10" s="37"/>
      <c r="AG10" s="23" t="s">
        <v>183</v>
      </c>
      <c r="AH10" s="23" t="str">
        <f t="shared" si="5"/>
        <v>;suting@inspur.com;</v>
      </c>
      <c r="AI10" s="35" t="s">
        <v>183</v>
      </c>
      <c r="AJ10" s="35" t="s">
        <v>183</v>
      </c>
      <c r="AK10" s="54" t="s">
        <v>126</v>
      </c>
      <c r="AL10" s="37"/>
      <c r="AM10" s="23"/>
      <c r="AN10" s="19"/>
      <c r="AO10" s="20"/>
      <c r="AP10" s="37"/>
      <c r="AQ10" s="19"/>
      <c r="AR10" s="19"/>
      <c r="AS10" s="19"/>
    </row>
    <row r="11" spans="1:45" ht="15.75" customHeight="1" x14ac:dyDescent="0.35">
      <c r="A11" s="18" t="str">
        <f t="shared" si="0"/>
        <v>yourui@inspur.com</v>
      </c>
      <c r="B11" s="18" t="str">
        <f t="shared" si="1"/>
        <v>gongmx@inspur.com;chenweinm@inspur.com;dingjiao@inspur.com;;kangzp@inspur.com;tangjing@inspur.com;shenfh@inspur.com</v>
      </c>
      <c r="C11" s="19" t="str">
        <f t="shared" si="2"/>
        <v>云服务集团周报数据</v>
      </c>
      <c r="D11" s="20" t="str">
        <f t="shared" si="3"/>
        <v>尤总，
      您好! 附件为贵单位本周的签单/回款数据，请查阅。如有异议及时反馈。
            云服务集团市场部</v>
      </c>
      <c r="E11" s="56" t="str">
        <f t="shared" si="4"/>
        <v>F:\工作\3浪潮云服务\市场部\本次发送\工作表合并\内蒙古区.xlsx</v>
      </c>
      <c r="F11" s="70" t="s">
        <v>382</v>
      </c>
      <c r="G11" s="30"/>
      <c r="H11" s="61">
        <v>1</v>
      </c>
      <c r="I11" s="61" t="s">
        <v>377</v>
      </c>
      <c r="J11" s="36"/>
      <c r="N11" s="46" t="s">
        <v>205</v>
      </c>
      <c r="O11" s="1" t="s">
        <v>36</v>
      </c>
      <c r="P11" s="1">
        <v>18600280588</v>
      </c>
      <c r="Q11" s="23" t="s">
        <v>37</v>
      </c>
      <c r="R11" s="21"/>
      <c r="S11" s="53" t="s">
        <v>478</v>
      </c>
      <c r="T11" s="37" t="s">
        <v>429</v>
      </c>
      <c r="U11" s="50" t="s">
        <v>430</v>
      </c>
      <c r="V11" s="19"/>
      <c r="W11" s="19">
        <v>18654528866</v>
      </c>
      <c r="X11" s="23" t="s">
        <v>431</v>
      </c>
      <c r="Y11" s="19"/>
      <c r="Z11" s="68" t="s">
        <v>478</v>
      </c>
      <c r="AA11" s="37" t="s">
        <v>479</v>
      </c>
      <c r="AB11" s="19" t="s">
        <v>66</v>
      </c>
      <c r="AC11" s="19">
        <v>15849339290</v>
      </c>
      <c r="AD11" s="23" t="s">
        <v>91</v>
      </c>
      <c r="AE11" s="19"/>
      <c r="AF11" s="37"/>
      <c r="AG11" s="23" t="s">
        <v>183</v>
      </c>
      <c r="AH11" s="23" t="str">
        <f t="shared" si="5"/>
        <v>chenweinm@inspur.com;dingjiao@inspur.com;</v>
      </c>
      <c r="AI11" s="35" t="s">
        <v>183</v>
      </c>
      <c r="AJ11" s="35" t="s">
        <v>183</v>
      </c>
      <c r="AK11" s="54" t="s">
        <v>117</v>
      </c>
      <c r="AL11" s="37" t="s">
        <v>333</v>
      </c>
      <c r="AM11" s="23" t="s">
        <v>187</v>
      </c>
      <c r="AN11" s="19"/>
      <c r="AO11" s="20">
        <v>13015020567</v>
      </c>
      <c r="AP11" s="37"/>
      <c r="AQ11" s="19"/>
      <c r="AR11" s="19"/>
      <c r="AS11" s="19"/>
    </row>
    <row r="12" spans="1:45" ht="15.75" customHeight="1" x14ac:dyDescent="0.35">
      <c r="A12" s="18" t="str">
        <f t="shared" si="0"/>
        <v>tanhb@inspur.com</v>
      </c>
      <c r="B12" s="18" t="str">
        <f t="shared" si="1"/>
        <v>sunqd@inspur.com;tanhb@inspur.com;wengxl@inspur.com;zhanglinfj@inspur.com;kangzp@inspur.com;tangjing@inspur.com;shenfh@inspur.com</v>
      </c>
      <c r="C12" s="19" t="str">
        <f t="shared" si="2"/>
        <v>云服务集团周报数据</v>
      </c>
      <c r="D12" s="20" t="str">
        <f t="shared" si="3"/>
        <v>谈总，
      您好! 附件为贵单位本周的签单/回款数据，请查阅。如有异议及时反馈。
            云服务集团市场部</v>
      </c>
      <c r="E12" s="56" t="str">
        <f t="shared" si="4"/>
        <v>F:\工作\3浪潮云服务\市场部\本次发送\工作表合并\福建区.xlsx</v>
      </c>
      <c r="F12" s="70" t="s">
        <v>384</v>
      </c>
      <c r="G12" s="30"/>
      <c r="H12" s="61">
        <v>1</v>
      </c>
      <c r="I12" s="61" t="s">
        <v>380</v>
      </c>
      <c r="J12" s="36"/>
      <c r="N12" s="48" t="s">
        <v>100</v>
      </c>
      <c r="O12" s="1" t="s">
        <v>56</v>
      </c>
      <c r="P12" s="1">
        <v>15806679158</v>
      </c>
      <c r="Q12" s="23" t="s">
        <v>57</v>
      </c>
      <c r="R12" s="21"/>
      <c r="S12" s="53" t="s">
        <v>482</v>
      </c>
      <c r="T12" s="37" t="s">
        <v>261</v>
      </c>
      <c r="U12" s="50" t="s">
        <v>363</v>
      </c>
      <c r="V12" s="19" t="s">
        <v>165</v>
      </c>
      <c r="W12" s="19">
        <v>13850101878</v>
      </c>
      <c r="X12" s="23" t="s">
        <v>364</v>
      </c>
      <c r="Y12" s="19"/>
      <c r="Z12" s="68" t="s">
        <v>482</v>
      </c>
      <c r="AA12" s="37" t="s">
        <v>483</v>
      </c>
      <c r="AB12" s="65" t="s">
        <v>183</v>
      </c>
      <c r="AC12" s="19"/>
      <c r="AD12" s="23" t="s">
        <v>329</v>
      </c>
      <c r="AE12" s="19"/>
      <c r="AF12" s="37" t="s">
        <v>209</v>
      </c>
      <c r="AG12" s="23" t="s">
        <v>223</v>
      </c>
      <c r="AH12" s="23" t="str">
        <f>AM12&amp;";"&amp;AD12&amp;";"&amp;AG12</f>
        <v>tanhb@inspur.com;wengxl@inspur.com;zhanglinfj@inspur.com</v>
      </c>
      <c r="AI12" s="35" t="s">
        <v>183</v>
      </c>
      <c r="AJ12" s="35" t="s">
        <v>183</v>
      </c>
      <c r="AK12" s="54" t="s">
        <v>124</v>
      </c>
      <c r="AL12" s="37" t="s">
        <v>261</v>
      </c>
      <c r="AM12" s="23" t="s">
        <v>266</v>
      </c>
      <c r="AN12" s="19" t="s">
        <v>263</v>
      </c>
      <c r="AO12" s="20"/>
      <c r="AP12" s="37" t="s">
        <v>328</v>
      </c>
      <c r="AQ12" s="19" t="s">
        <v>66</v>
      </c>
      <c r="AR12" s="19">
        <v>15059157761</v>
      </c>
      <c r="AS12" s="19" t="s">
        <v>101</v>
      </c>
    </row>
    <row r="13" spans="1:45" ht="15.75" customHeight="1" x14ac:dyDescent="0.35">
      <c r="A13" s="18" t="str">
        <f t="shared" si="0"/>
        <v>loupeng@inspur.com</v>
      </c>
      <c r="B13" s="18" t="str">
        <f t="shared" si="1"/>
        <v>cuijm@inspur.com;;chengss@inspur.com;;kangzp@inspur.com;tangjing@inspur.com;shenfh@inspur.com</v>
      </c>
      <c r="C13" s="19" t="str">
        <f t="shared" si="2"/>
        <v>云服务集团周报数据</v>
      </c>
      <c r="D13" s="20" t="str">
        <f t="shared" si="3"/>
        <v>娄总，
      您好! 附件为贵单位本周的签单/回款数据，请查阅。如有异议及时反馈。
            云服务集团市场部</v>
      </c>
      <c r="E13" s="56" t="str">
        <f t="shared" si="4"/>
        <v>F:\工作\3浪潮云服务\市场部\本次发送\工作表合并\新疆区.xlsx</v>
      </c>
      <c r="F13" s="70" t="s">
        <v>385</v>
      </c>
      <c r="G13" s="30"/>
      <c r="H13" s="61">
        <v>1</v>
      </c>
      <c r="I13" s="61" t="s">
        <v>203</v>
      </c>
      <c r="J13" s="36"/>
      <c r="N13" s="46" t="s">
        <v>89</v>
      </c>
      <c r="O13" s="1" t="s">
        <v>50</v>
      </c>
      <c r="P13" s="1">
        <v>13999985001</v>
      </c>
      <c r="Q13" s="23" t="s">
        <v>51</v>
      </c>
      <c r="R13" s="21"/>
      <c r="S13" s="53" t="s">
        <v>484</v>
      </c>
      <c r="T13" s="37" t="s">
        <v>407</v>
      </c>
      <c r="U13" s="50" t="s">
        <v>408</v>
      </c>
      <c r="V13" s="19"/>
      <c r="W13" s="19">
        <v>18699020035</v>
      </c>
      <c r="X13" s="23" t="s">
        <v>409</v>
      </c>
      <c r="Y13" s="19"/>
      <c r="Z13" s="68" t="s">
        <v>484</v>
      </c>
      <c r="AA13" s="37" t="s">
        <v>485</v>
      </c>
      <c r="AB13" s="19" t="s">
        <v>66</v>
      </c>
      <c r="AC13" s="19">
        <v>13659956575</v>
      </c>
      <c r="AD13" s="23" t="s">
        <v>90</v>
      </c>
      <c r="AE13" s="19"/>
      <c r="AF13" s="37"/>
      <c r="AG13" s="23" t="s">
        <v>183</v>
      </c>
      <c r="AH13" s="23" t="str">
        <f t="shared" si="5"/>
        <v>;chengss@inspur.com;</v>
      </c>
      <c r="AI13" s="35" t="s">
        <v>183</v>
      </c>
      <c r="AJ13" s="35" t="s">
        <v>183</v>
      </c>
      <c r="AK13" s="54" t="s">
        <v>123</v>
      </c>
      <c r="AL13" s="37"/>
      <c r="AM13" s="23"/>
      <c r="AN13" s="19"/>
      <c r="AO13" s="20"/>
      <c r="AP13" s="37"/>
      <c r="AQ13" s="19"/>
      <c r="AR13" s="19"/>
      <c r="AS13" s="19"/>
    </row>
    <row r="14" spans="1:45" ht="15.75" customHeight="1" x14ac:dyDescent="0.35">
      <c r="A14" s="18" t="str">
        <f t="shared" si="0"/>
        <v>kangll@inspur.com</v>
      </c>
      <c r="B14" s="18" t="str">
        <f t="shared" si="1"/>
        <v>kangkai@inspur.com;liumengfang@inspur.com;haoling@inspur.com;yumh@inspur.com;kangzp@inspur.com;tangjing@inspur.com;shenfh@inspur.com</v>
      </c>
      <c r="C14" s="19" t="str">
        <f t="shared" si="2"/>
        <v>云服务集团周报数据</v>
      </c>
      <c r="D14" s="20" t="str">
        <f t="shared" si="3"/>
        <v>康总，
      您好! 附件为贵单位本周的签单/回款数据，请查阅。如有异议及时反馈。
            云服务集团市场部</v>
      </c>
      <c r="E14" s="56" t="str">
        <f t="shared" si="4"/>
        <v>F:\工作\3浪潮云服务\市场部\本次发送\工作表合并\重庆区.xlsx</v>
      </c>
      <c r="F14" s="70" t="s">
        <v>387</v>
      </c>
      <c r="G14" s="30"/>
      <c r="H14" s="61">
        <v>1</v>
      </c>
      <c r="I14" s="61"/>
      <c r="J14" s="36"/>
      <c r="N14" s="46" t="s">
        <v>92</v>
      </c>
      <c r="O14" s="1" t="s">
        <v>415</v>
      </c>
      <c r="P14" s="1"/>
      <c r="Q14" s="23" t="s">
        <v>416</v>
      </c>
      <c r="R14" s="21"/>
      <c r="S14" s="53" t="s">
        <v>488</v>
      </c>
      <c r="T14" s="73" t="s">
        <v>528</v>
      </c>
      <c r="U14" s="50" t="s">
        <v>527</v>
      </c>
      <c r="V14" s="19" t="s">
        <v>165</v>
      </c>
      <c r="W14" s="19">
        <v>13389603995</v>
      </c>
      <c r="X14" s="23" t="s">
        <v>526</v>
      </c>
      <c r="Y14" s="19"/>
      <c r="Z14" s="68" t="s">
        <v>488</v>
      </c>
      <c r="AA14" s="37" t="s">
        <v>489</v>
      </c>
      <c r="AB14" s="19" t="s">
        <v>68</v>
      </c>
      <c r="AC14" s="19">
        <v>15923343988</v>
      </c>
      <c r="AD14" s="23" t="s">
        <v>93</v>
      </c>
      <c r="AE14" s="19"/>
      <c r="AF14" s="37" t="s">
        <v>523</v>
      </c>
      <c r="AG14" s="23" t="s">
        <v>313</v>
      </c>
      <c r="AH14" s="23" t="str">
        <f t="shared" si="5"/>
        <v>liumengfang@inspur.com;haoling@inspur.com;yumh@inspur.com</v>
      </c>
      <c r="AI14" s="35" t="s">
        <v>183</v>
      </c>
      <c r="AJ14" s="35" t="s">
        <v>183</v>
      </c>
      <c r="AK14" s="54" t="s">
        <v>121</v>
      </c>
      <c r="AL14" s="37" t="s">
        <v>356</v>
      </c>
      <c r="AM14" s="23" t="s">
        <v>355</v>
      </c>
      <c r="AN14" s="19" t="s">
        <v>357</v>
      </c>
      <c r="AO14" s="20"/>
      <c r="AP14" s="37"/>
      <c r="AQ14" s="19"/>
      <c r="AR14" s="19"/>
      <c r="AS14" s="19"/>
    </row>
    <row r="15" spans="1:45" ht="15.75" customHeight="1" x14ac:dyDescent="0.35">
      <c r="A15" s="18" t="str">
        <f t="shared" si="0"/>
        <v>jiangy@inspur.com</v>
      </c>
      <c r="B15" s="18" t="str">
        <f t="shared" si="1"/>
        <v>lixin@inspur.com;;fuyx@inspur.com;;kangzp@inspur.com;tangjing@inspur.com;shenfh@inspur.com</v>
      </c>
      <c r="C15" s="19" t="str">
        <f t="shared" si="2"/>
        <v>云服务集团周报数据</v>
      </c>
      <c r="D15" s="20" t="str">
        <f t="shared" si="3"/>
        <v>江总，
      您好! 附件为贵单位本周的签单/回款数据，请查阅。如有异议及时反馈。
            云服务集团市场部</v>
      </c>
      <c r="E15" s="56" t="str">
        <f t="shared" si="4"/>
        <v>F:\工作\3浪潮云服务\市场部\本次发送\工作表合并\贵州区.xlsx</v>
      </c>
      <c r="F15" s="71" t="s">
        <v>389</v>
      </c>
      <c r="G15" s="30"/>
      <c r="H15" s="61">
        <v>1</v>
      </c>
      <c r="I15" s="61"/>
      <c r="J15" s="36"/>
      <c r="N15" s="46" t="s">
        <v>107</v>
      </c>
      <c r="O15" s="2" t="s">
        <v>18</v>
      </c>
      <c r="P15" s="2">
        <v>13385115600</v>
      </c>
      <c r="Q15" s="23" t="s">
        <v>19</v>
      </c>
      <c r="R15" s="21"/>
      <c r="S15" s="53" t="s">
        <v>492</v>
      </c>
      <c r="T15" s="37" t="s">
        <v>148</v>
      </c>
      <c r="U15" s="50" t="s">
        <v>284</v>
      </c>
      <c r="V15" s="19" t="s">
        <v>143</v>
      </c>
      <c r="W15" s="19">
        <v>18985187797</v>
      </c>
      <c r="X15" s="23" t="s">
        <v>308</v>
      </c>
      <c r="Y15" s="19"/>
      <c r="Z15" s="68" t="s">
        <v>492</v>
      </c>
      <c r="AA15" s="37" t="s">
        <v>493</v>
      </c>
      <c r="AB15" s="19" t="s">
        <v>73</v>
      </c>
      <c r="AC15" s="19">
        <v>13312213132</v>
      </c>
      <c r="AD15" s="23" t="s">
        <v>108</v>
      </c>
      <c r="AE15" s="19"/>
      <c r="AF15" s="37"/>
      <c r="AG15" s="23" t="s">
        <v>183</v>
      </c>
      <c r="AH15" s="23" t="str">
        <f t="shared" si="5"/>
        <v>;fuyx@inspur.com;</v>
      </c>
      <c r="AI15" s="35" t="s">
        <v>183</v>
      </c>
      <c r="AJ15" s="35" t="s">
        <v>183</v>
      </c>
      <c r="AK15" s="54" t="s">
        <v>120</v>
      </c>
      <c r="AL15" s="37"/>
      <c r="AM15" s="23"/>
      <c r="AN15" s="19"/>
      <c r="AO15" s="20"/>
      <c r="AP15" s="37"/>
      <c r="AQ15" s="19"/>
      <c r="AR15" s="19"/>
      <c r="AS15" s="19"/>
    </row>
    <row r="16" spans="1:45" ht="15.75" customHeight="1" x14ac:dyDescent="0.35">
      <c r="A16" s="18" t="str">
        <f t="shared" si="0"/>
        <v>songning@inspur.com</v>
      </c>
      <c r="B16" s="18" t="str">
        <f t="shared" si="1"/>
        <v>wangnj@inspur.com;;hanmin@insur.com;;kangzp@inspur.com;tangjing@inspur.com;shenfh@inspur.com</v>
      </c>
      <c r="C16" s="19" t="str">
        <f t="shared" si="2"/>
        <v>云服务集团周报数据</v>
      </c>
      <c r="D16" s="20" t="str">
        <f t="shared" si="3"/>
        <v>宋总，
      您好! 附件为贵单位本周的签单/回款数据，请查阅。如有异议及时反馈。
            云服务集团市场部</v>
      </c>
      <c r="E16" s="56" t="str">
        <f t="shared" si="4"/>
        <v>F:\工作\3浪潮云服务\市场部\本次发送\工作表合并\宁夏区.xlsx</v>
      </c>
      <c r="F16" s="70" t="s">
        <v>393</v>
      </c>
      <c r="G16" s="30"/>
      <c r="H16" s="61">
        <v>1</v>
      </c>
      <c r="I16" s="61"/>
      <c r="J16" s="36"/>
      <c r="N16" s="46" t="s">
        <v>109</v>
      </c>
      <c r="O16" s="1" t="s">
        <v>38</v>
      </c>
      <c r="P16" s="1">
        <v>13309595050</v>
      </c>
      <c r="Q16" s="23" t="s">
        <v>39</v>
      </c>
      <c r="R16" s="21"/>
      <c r="S16" s="53" t="s">
        <v>501</v>
      </c>
      <c r="T16" s="37" t="s">
        <v>155</v>
      </c>
      <c r="U16" s="50" t="s">
        <v>286</v>
      </c>
      <c r="V16" s="19" t="s">
        <v>143</v>
      </c>
      <c r="W16" s="19">
        <v>13909519110</v>
      </c>
      <c r="X16" s="23" t="s">
        <v>173</v>
      </c>
      <c r="Y16" s="19"/>
      <c r="Z16" s="68" t="s">
        <v>501</v>
      </c>
      <c r="AA16" s="37" t="s">
        <v>502</v>
      </c>
      <c r="AB16" s="19" t="s">
        <v>66</v>
      </c>
      <c r="AC16" s="19">
        <v>18991165433</v>
      </c>
      <c r="AD16" s="23" t="s">
        <v>110</v>
      </c>
      <c r="AE16" s="19"/>
      <c r="AF16" s="37"/>
      <c r="AG16" s="23" t="s">
        <v>183</v>
      </c>
      <c r="AH16" s="23" t="str">
        <f t="shared" si="5"/>
        <v>;hanmin@insur.com;</v>
      </c>
      <c r="AI16" s="35" t="s">
        <v>183</v>
      </c>
      <c r="AJ16" s="35" t="s">
        <v>183</v>
      </c>
      <c r="AK16" s="54" t="s">
        <v>163</v>
      </c>
      <c r="AL16" s="37"/>
      <c r="AM16" s="23"/>
      <c r="AN16" s="19"/>
      <c r="AO16" s="20"/>
      <c r="AP16" s="37"/>
      <c r="AQ16" s="19"/>
      <c r="AR16" s="19"/>
      <c r="AS16" s="19"/>
    </row>
    <row r="17" spans="1:45" ht="15.75" customHeight="1" x14ac:dyDescent="0.35">
      <c r="A17" s="18" t="str">
        <f t="shared" si="0"/>
        <v>zhaojun@inspur.com</v>
      </c>
      <c r="B17" s="18" t="str">
        <f t="shared" si="1"/>
        <v>tianht@inspur.com;;liuzhiyu@inspur.com;;kangzp@inspur.com;tangjing@inspur.com;shenfh@inspur.com</v>
      </c>
      <c r="C17" s="19" t="str">
        <f t="shared" si="2"/>
        <v>云服务集团周报数据</v>
      </c>
      <c r="D17" s="20" t="str">
        <f t="shared" si="3"/>
        <v>赵总，
      您好! 附件为贵单位本周的签单/回款数据，请查阅。如有异议及时反馈。
            云服务集团市场部</v>
      </c>
      <c r="E17" s="56" t="str">
        <f t="shared" si="4"/>
        <v>F:\工作\3浪潮云服务\市场部\本次发送\工作表合并\政法行业部.xlsx</v>
      </c>
      <c r="F17" s="37" t="s">
        <v>197</v>
      </c>
      <c r="G17" s="30" t="s">
        <v>183</v>
      </c>
      <c r="H17" s="61">
        <v>1</v>
      </c>
      <c r="I17" s="61"/>
      <c r="J17" s="36"/>
      <c r="K17" s="38"/>
      <c r="L17" s="38"/>
      <c r="M17" s="38"/>
      <c r="N17" s="49" t="s">
        <v>197</v>
      </c>
      <c r="O17" s="1" t="s">
        <v>235</v>
      </c>
      <c r="P17" s="19"/>
      <c r="Q17" s="23" t="s">
        <v>248</v>
      </c>
      <c r="R17" s="19"/>
      <c r="S17" s="53" t="s">
        <v>197</v>
      </c>
      <c r="T17" s="37" t="s">
        <v>241</v>
      </c>
      <c r="U17" s="50" t="s">
        <v>275</v>
      </c>
      <c r="V17" s="19"/>
      <c r="W17" s="19">
        <v>13305317619</v>
      </c>
      <c r="X17" s="23" t="s">
        <v>253</v>
      </c>
      <c r="Y17" s="19"/>
      <c r="Z17" s="68" t="s">
        <v>197</v>
      </c>
      <c r="AA17" s="37" t="s">
        <v>210</v>
      </c>
      <c r="AB17" s="65" t="s">
        <v>183</v>
      </c>
      <c r="AC17" s="19"/>
      <c r="AD17" s="23" t="s">
        <v>226</v>
      </c>
      <c r="AE17" s="19"/>
      <c r="AF17" s="37"/>
      <c r="AG17" s="23"/>
      <c r="AH17" s="23" t="str">
        <f t="shared" si="5"/>
        <v>;liuzhiyu@inspur.com;</v>
      </c>
      <c r="AI17" s="35" t="s">
        <v>183</v>
      </c>
      <c r="AJ17" s="35" t="s">
        <v>183</v>
      </c>
      <c r="AK17" s="54" t="s">
        <v>197</v>
      </c>
      <c r="AL17" s="37"/>
      <c r="AM17" s="23"/>
      <c r="AN17" s="19"/>
      <c r="AO17" s="20"/>
      <c r="AP17" s="37"/>
      <c r="AQ17" s="19"/>
      <c r="AR17" s="19"/>
      <c r="AS17" s="19"/>
    </row>
    <row r="18" spans="1:45" ht="15.75" customHeight="1" x14ac:dyDescent="0.35">
      <c r="A18" s="18" t="str">
        <f t="shared" si="0"/>
        <v>li.yj@inspur.com</v>
      </c>
      <c r="B18" s="18" t="str">
        <f t="shared" si="1"/>
        <v>shiyong@inspur.com;fujt@inspur.com;chenfy@inspur.com;;kangzp@inspur.com;tangjing@inspur.com;shenfh@inspur.com</v>
      </c>
      <c r="C18" s="19" t="str">
        <f t="shared" si="2"/>
        <v>云服务集团周报数据</v>
      </c>
      <c r="D18" s="20" t="str">
        <f t="shared" si="3"/>
        <v>李总，
      您好! 附件为贵单位本周的签单/回款数据，请查阅。如有异议及时反馈。
            云服务集团市场部</v>
      </c>
      <c r="E18" s="56" t="str">
        <f t="shared" si="4"/>
        <v>F:\工作\3浪潮云服务\市场部\本次发送\工作表合并\党政教育行业部.xlsx</v>
      </c>
      <c r="F18" s="37" t="s">
        <v>198</v>
      </c>
      <c r="G18" s="30" t="s">
        <v>183</v>
      </c>
      <c r="H18" s="61">
        <v>1</v>
      </c>
      <c r="I18" s="61"/>
      <c r="J18" s="36"/>
      <c r="K18" s="38"/>
      <c r="L18" s="38"/>
      <c r="M18" s="38"/>
      <c r="N18" s="49" t="s">
        <v>198</v>
      </c>
      <c r="O18" s="1" t="s">
        <v>236</v>
      </c>
      <c r="P18" s="19"/>
      <c r="Q18" s="23" t="s">
        <v>249</v>
      </c>
      <c r="R18" s="19"/>
      <c r="S18" s="53" t="s">
        <v>198</v>
      </c>
      <c r="T18" s="37" t="s">
        <v>242</v>
      </c>
      <c r="U18" s="50" t="s">
        <v>281</v>
      </c>
      <c r="V18" s="19"/>
      <c r="W18" s="19">
        <v>18901155067</v>
      </c>
      <c r="X18" s="23" t="s">
        <v>254</v>
      </c>
      <c r="Y18" s="19"/>
      <c r="Z18" s="68" t="s">
        <v>198</v>
      </c>
      <c r="AA18" s="37" t="s">
        <v>211</v>
      </c>
      <c r="AB18" s="65" t="s">
        <v>183</v>
      </c>
      <c r="AC18" s="19"/>
      <c r="AD18" s="23" t="s">
        <v>227</v>
      </c>
      <c r="AE18" s="19"/>
      <c r="AF18" s="37"/>
      <c r="AG18" s="23"/>
      <c r="AH18" s="23" t="str">
        <f t="shared" si="5"/>
        <v>fujt@inspur.com;chenfy@inspur.com;</v>
      </c>
      <c r="AI18" s="35" t="s">
        <v>183</v>
      </c>
      <c r="AJ18" s="35" t="s">
        <v>183</v>
      </c>
      <c r="AK18" s="54" t="s">
        <v>198</v>
      </c>
      <c r="AL18" s="37" t="s">
        <v>311</v>
      </c>
      <c r="AM18" s="23" t="s">
        <v>312</v>
      </c>
      <c r="AN18" s="19"/>
      <c r="AO18" s="20">
        <v>18600040407</v>
      </c>
      <c r="AP18" s="37"/>
      <c r="AQ18" s="19"/>
      <c r="AR18" s="19"/>
      <c r="AS18" s="19"/>
    </row>
    <row r="19" spans="1:45" ht="15.75" customHeight="1" x14ac:dyDescent="0.35">
      <c r="A19" s="18" t="str">
        <f t="shared" si="0"/>
        <v>zhanglinyfw@inspur.com</v>
      </c>
      <c r="B19" s="18" t="str">
        <f t="shared" si="1"/>
        <v>hushj@inspur.com;;wangjinping@inspur.com;;kangzp@inspur.com;tangjing@inspur.com;shenfh@inspur.com</v>
      </c>
      <c r="C19" s="19" t="str">
        <f t="shared" si="2"/>
        <v>云服务集团周报数据</v>
      </c>
      <c r="D19" s="20" t="str">
        <f t="shared" si="3"/>
        <v>张总，
      您好! 附件为贵单位本周的签单/回款数据，请查阅。如有异议及时反馈。
            云服务集团市场部</v>
      </c>
      <c r="E19" s="56" t="str">
        <f t="shared" si="4"/>
        <v>F:\工作\3浪潮云服务\市场部\本次发送\工作表合并\健康监管行业部.xlsx</v>
      </c>
      <c r="F19" s="37" t="s">
        <v>199</v>
      </c>
      <c r="G19" s="30" t="s">
        <v>183</v>
      </c>
      <c r="H19" s="61">
        <v>1</v>
      </c>
      <c r="I19" s="61"/>
      <c r="J19" s="36"/>
      <c r="K19" s="38"/>
      <c r="L19" s="38"/>
      <c r="M19" s="38"/>
      <c r="N19" s="49" t="s">
        <v>199</v>
      </c>
      <c r="O19" s="1" t="s">
        <v>237</v>
      </c>
      <c r="P19" s="19"/>
      <c r="Q19" s="23" t="s">
        <v>250</v>
      </c>
      <c r="R19" s="19"/>
      <c r="S19" s="53" t="s">
        <v>199</v>
      </c>
      <c r="T19" s="37" t="s">
        <v>437</v>
      </c>
      <c r="U19" s="50" t="s">
        <v>438</v>
      </c>
      <c r="V19" s="19"/>
      <c r="W19" s="19">
        <v>18600500301</v>
      </c>
      <c r="X19" s="23" t="s">
        <v>439</v>
      </c>
      <c r="Y19" s="19"/>
      <c r="Z19" s="68" t="s">
        <v>199</v>
      </c>
      <c r="AA19" s="37" t="s">
        <v>212</v>
      </c>
      <c r="AB19" s="65" t="s">
        <v>183</v>
      </c>
      <c r="AC19" s="19"/>
      <c r="AD19" s="23" t="s">
        <v>228</v>
      </c>
      <c r="AE19" s="19"/>
      <c r="AF19" s="37"/>
      <c r="AG19" s="23"/>
      <c r="AH19" s="23" t="str">
        <f t="shared" si="5"/>
        <v>;wangjinping@inspur.com;</v>
      </c>
      <c r="AI19" s="35" t="s">
        <v>183</v>
      </c>
      <c r="AJ19" s="35" t="s">
        <v>183</v>
      </c>
      <c r="AK19" s="54" t="s">
        <v>199</v>
      </c>
      <c r="AL19" s="37"/>
      <c r="AM19" s="23"/>
      <c r="AN19" s="19"/>
      <c r="AO19" s="20"/>
      <c r="AP19" s="37"/>
      <c r="AQ19" s="19"/>
      <c r="AR19" s="19"/>
      <c r="AS19" s="19"/>
    </row>
    <row r="20" spans="1:45" ht="15.75" customHeight="1" x14ac:dyDescent="0.35">
      <c r="A20" s="18" t="str">
        <f t="shared" si="0"/>
        <v>liyz@inspur.com</v>
      </c>
      <c r="B20" s="18" t="str">
        <f t="shared" si="1"/>
        <v>suncht@inspur.com;;kanhx@inspur.com;;kangzp@inspur.com;tangjing@inspur.com;shenfh@inspur.com</v>
      </c>
      <c r="C20" s="19" t="str">
        <f t="shared" si="2"/>
        <v>云服务集团周报数据</v>
      </c>
      <c r="D20" s="20" t="str">
        <f t="shared" si="3"/>
        <v>李总，
      您好! 附件为贵单位本周的签单/回款数据，请查阅。如有异议及时反馈。
            云服务集团市场部</v>
      </c>
      <c r="E20" s="56" t="str">
        <f t="shared" si="4"/>
        <v>F:\工作\3浪潮云服务\市场部\本次发送\工作表合并\金融行业部.xlsx</v>
      </c>
      <c r="F20" s="37" t="s">
        <v>203</v>
      </c>
      <c r="G20" s="30" t="s">
        <v>183</v>
      </c>
      <c r="H20" s="61">
        <v>1</v>
      </c>
      <c r="I20" s="61"/>
      <c r="J20" s="36"/>
      <c r="K20" s="38"/>
      <c r="L20" s="38"/>
      <c r="M20" s="38"/>
      <c r="N20" s="49" t="s">
        <v>203</v>
      </c>
      <c r="O20" s="37" t="s">
        <v>338</v>
      </c>
      <c r="P20" s="19"/>
      <c r="Q20" s="23" t="s">
        <v>337</v>
      </c>
      <c r="R20" s="19"/>
      <c r="S20" s="53" t="s">
        <v>203</v>
      </c>
      <c r="T20" s="37" t="s">
        <v>340</v>
      </c>
      <c r="U20" s="50" t="s">
        <v>341</v>
      </c>
      <c r="V20" s="19"/>
      <c r="W20" s="19">
        <v>13905317501</v>
      </c>
      <c r="X20" s="23" t="s">
        <v>339</v>
      </c>
      <c r="Y20" s="19"/>
      <c r="Z20" s="68" t="s">
        <v>512</v>
      </c>
      <c r="AA20" s="37" t="s">
        <v>215</v>
      </c>
      <c r="AB20" s="65" t="s">
        <v>183</v>
      </c>
      <c r="AC20" s="19"/>
      <c r="AD20" s="23" t="s">
        <v>231</v>
      </c>
      <c r="AE20" s="19"/>
      <c r="AF20" s="37"/>
      <c r="AG20" s="23"/>
      <c r="AH20" s="23" t="str">
        <f t="shared" si="5"/>
        <v>;kanhx@inspur.com;</v>
      </c>
      <c r="AI20" s="35" t="s">
        <v>183</v>
      </c>
      <c r="AJ20" s="35" t="s">
        <v>183</v>
      </c>
      <c r="AK20" s="54" t="s">
        <v>203</v>
      </c>
      <c r="AL20" s="37"/>
      <c r="AM20" s="23"/>
      <c r="AN20" s="19"/>
      <c r="AO20" s="20"/>
      <c r="AP20" s="37"/>
      <c r="AQ20" s="19"/>
      <c r="AR20" s="19"/>
      <c r="AS20" s="19"/>
    </row>
    <row r="21" spans="1:45" ht="15.75" customHeight="1" x14ac:dyDescent="0.35">
      <c r="A21" s="18" t="str">
        <f t="shared" si="0"/>
        <v>jingyx@inspur.com</v>
      </c>
      <c r="B21" s="18" t="str">
        <f t="shared" si="1"/>
        <v>huhg@inspur.com;;zhanglinjun@inspur.com;;kangzp@inspur.com;tangjing@inspur.com;shenfh@inspur.com</v>
      </c>
      <c r="C21" s="19" t="str">
        <f t="shared" si="2"/>
        <v>云服务集团周报数据</v>
      </c>
      <c r="D21" s="20" t="str">
        <f t="shared" si="3"/>
        <v>井总，
      您好! 附件为贵单位本周的签单/回款数据，请查阅。如有异议及时反馈。
            云服务集团市场部</v>
      </c>
      <c r="E21" s="56" t="str">
        <f t="shared" si="4"/>
        <v>F:\工作\3浪潮云服务\市场部\本次发送\工作表合并\大企业市场部.xlsx</v>
      </c>
      <c r="F21" s="37" t="s">
        <v>315</v>
      </c>
      <c r="G21" s="30" t="s">
        <v>183</v>
      </c>
      <c r="H21" s="61">
        <v>1</v>
      </c>
      <c r="I21" s="61"/>
      <c r="J21" s="36"/>
      <c r="K21" s="38"/>
      <c r="L21" s="38"/>
      <c r="M21" s="38"/>
      <c r="N21" s="49" t="s">
        <v>410</v>
      </c>
      <c r="O21" s="37" t="s">
        <v>240</v>
      </c>
      <c r="P21" s="19"/>
      <c r="Q21" s="23" t="s">
        <v>314</v>
      </c>
      <c r="R21" s="19"/>
      <c r="S21" s="53" t="s">
        <v>410</v>
      </c>
      <c r="T21" s="37" t="s">
        <v>326</v>
      </c>
      <c r="U21" s="50" t="s">
        <v>327</v>
      </c>
      <c r="V21" s="19"/>
      <c r="W21" s="19">
        <v>13911226521</v>
      </c>
      <c r="X21" s="23" t="s">
        <v>325</v>
      </c>
      <c r="Y21" s="19"/>
      <c r="Z21" s="68" t="s">
        <v>515</v>
      </c>
      <c r="AA21" s="37" t="s">
        <v>216</v>
      </c>
      <c r="AB21" s="65" t="s">
        <v>183</v>
      </c>
      <c r="AC21" s="19"/>
      <c r="AD21" s="23" t="s">
        <v>233</v>
      </c>
      <c r="AE21" s="19"/>
      <c r="AF21" s="37"/>
      <c r="AG21" s="23"/>
      <c r="AH21" s="23" t="str">
        <f t="shared" si="5"/>
        <v>;zhanglinjun@inspur.com;</v>
      </c>
      <c r="AI21" s="35" t="s">
        <v>183</v>
      </c>
      <c r="AJ21" s="35" t="s">
        <v>183</v>
      </c>
      <c r="AK21" s="54" t="s">
        <v>410</v>
      </c>
      <c r="AL21" s="37"/>
      <c r="AM21" s="23"/>
      <c r="AN21" s="19"/>
      <c r="AO21" s="20"/>
      <c r="AP21" s="37"/>
      <c r="AQ21" s="19"/>
      <c r="AR21" s="19"/>
      <c r="AS21" s="19"/>
    </row>
    <row r="22" spans="1:45" ht="15.75" customHeight="1" x14ac:dyDescent="0.35">
      <c r="A22" s="18" t="str">
        <f t="shared" si="0"/>
        <v>zhengdw@inspur.com</v>
      </c>
      <c r="B22" s="18" t="str">
        <f t="shared" si="1"/>
        <v>yanggp@inspur.com;;kangzp@inspur.com;tangjing@inspur.com;shenfh@inspur.com</v>
      </c>
      <c r="C22" s="19" t="str">
        <f t="shared" si="2"/>
        <v>云服务集团周报数据</v>
      </c>
      <c r="D22" s="20" t="str">
        <f t="shared" si="3"/>
        <v>郑总，
      您好! 附件为贵单位本周的签单/回款数据，请查阅。如有异议及时反馈。
            云服务集团市场部</v>
      </c>
      <c r="E22" s="56" t="str">
        <f t="shared" si="4"/>
        <v>F:\工作\3浪潮云服务\市场部\本次发送\工作表合并\建筑行业部.xlsx</v>
      </c>
      <c r="F22" s="37" t="s">
        <v>411</v>
      </c>
      <c r="G22" s="39"/>
      <c r="H22" s="61">
        <v>1</v>
      </c>
      <c r="I22" s="61"/>
      <c r="J22" s="36"/>
      <c r="K22" s="38"/>
      <c r="L22" s="38"/>
      <c r="M22" s="38"/>
      <c r="N22" s="49" t="s">
        <v>411</v>
      </c>
      <c r="O22" s="37" t="s">
        <v>441</v>
      </c>
      <c r="P22" s="19"/>
      <c r="Q22" s="23" t="s">
        <v>442</v>
      </c>
      <c r="R22" s="19"/>
      <c r="S22" s="53" t="s">
        <v>411</v>
      </c>
      <c r="T22" s="37" t="s">
        <v>412</v>
      </c>
      <c r="U22" s="50" t="s">
        <v>413</v>
      </c>
      <c r="V22" s="19"/>
      <c r="W22" s="19">
        <v>18618357088</v>
      </c>
      <c r="X22" s="23" t="s">
        <v>414</v>
      </c>
      <c r="Y22" s="19"/>
      <c r="Z22" s="68"/>
      <c r="AA22" s="37"/>
      <c r="AB22" s="65" t="s">
        <v>183</v>
      </c>
      <c r="AC22" s="19"/>
      <c r="AD22" s="23"/>
      <c r="AE22" s="19"/>
      <c r="AF22" s="37"/>
      <c r="AG22" s="23"/>
      <c r="AH22" s="23"/>
      <c r="AI22" s="35"/>
      <c r="AJ22" s="35" t="s">
        <v>183</v>
      </c>
      <c r="AK22" s="54"/>
      <c r="AL22" s="37"/>
      <c r="AM22" s="23"/>
      <c r="AN22" s="19"/>
      <c r="AO22" s="20"/>
      <c r="AP22" s="37"/>
      <c r="AQ22" s="19"/>
      <c r="AR22" s="19"/>
      <c r="AS22" s="19"/>
    </row>
  </sheetData>
  <autoFilter ref="A1:AS22"/>
  <phoneticPr fontId="6" type="noConversion"/>
  <hyperlinks>
    <hyperlink ref="AM12" r:id="rId1"/>
    <hyperlink ref="AM18" r:id="rId2"/>
    <hyperlink ref="AG14" r:id="rId3"/>
    <hyperlink ref="X14" r:id="rId4"/>
    <hyperlink ref="X21" r:id="rId5"/>
    <hyperlink ref="AS12" r:id="rId6"/>
    <hyperlink ref="X20" r:id="rId7"/>
    <hyperlink ref="AM14" r:id="rId8"/>
    <hyperlink ref="X10" r:id="rId9"/>
    <hyperlink ref="X12" r:id="rId10"/>
    <hyperlink ref="X4" r:id="rId11"/>
    <hyperlink ref="X13" r:id="rId12"/>
    <hyperlink ref="X22" r:id="rId13"/>
    <hyperlink ref="X6" r:id="rId14"/>
    <hyperlink ref="X11" r:id="rId15"/>
  </hyperlinks>
  <pageMargins left="0.7" right="0.7" top="0.75" bottom="0.75" header="0.3" footer="0.3"/>
  <pageSetup paperSize="9" orientation="portrait" r:id="rId16"/>
  <drawing r:id="rId17"/>
  <legacyDrawing r:id="rId1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4945" r:id="rId19" name="Button 1">
              <controlPr defaultSize="0" print="0" autoFill="0" autoPict="0" macro="[0]!批量发送邮件">
                <anchor moveWithCells="1">
                  <from>
                    <xdr:col>1</xdr:col>
                    <xdr:colOff>371475</xdr:colOff>
                    <xdr:row>0</xdr:row>
                    <xdr:rowOff>19050</xdr:rowOff>
                  </from>
                  <to>
                    <xdr:col>1</xdr:col>
                    <xdr:colOff>857250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S10"/>
  <sheetViews>
    <sheetView showGridLines="0" zoomScale="90" zoomScaleNormal="9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L11" sqref="L11"/>
    </sheetView>
  </sheetViews>
  <sheetFormatPr defaultRowHeight="15.75" customHeight="1" outlineLevelCol="1" x14ac:dyDescent="0.15"/>
  <cols>
    <col min="1" max="1" width="19.875" style="25" customWidth="1"/>
    <col min="2" max="2" width="9.25" style="24" customWidth="1"/>
    <col min="3" max="3" width="18.375" style="26" customWidth="1"/>
    <col min="4" max="4" width="5.125" style="26" customWidth="1"/>
    <col min="5" max="5" width="5.5" style="25" customWidth="1"/>
    <col min="6" max="6" width="10" style="29" customWidth="1"/>
    <col min="7" max="7" width="3.875" style="40" customWidth="1"/>
    <col min="8" max="8" width="5.375" style="40" customWidth="1"/>
    <col min="9" max="9" width="13.125" style="40" customWidth="1"/>
    <col min="10" max="10" width="19.375" style="40" customWidth="1"/>
    <col min="11" max="11" width="5" style="26" customWidth="1"/>
    <col min="12" max="12" width="4.25" style="26" customWidth="1"/>
    <col min="13" max="13" width="48.375" style="26" customWidth="1"/>
    <col min="14" max="14" width="4.5" style="41" customWidth="1"/>
    <col min="15" max="15" width="6.375" style="29" customWidth="1"/>
    <col min="16" max="16" width="15.875" style="26" hidden="1" customWidth="1"/>
    <col min="17" max="17" width="5.25" style="42" customWidth="1"/>
    <col min="18" max="18" width="10.75" style="26" hidden="1" customWidth="1"/>
    <col min="19" max="19" width="4.5" style="43" customWidth="1"/>
    <col min="20" max="20" width="5.5" style="29" customWidth="1"/>
    <col min="21" max="21" width="5.75" style="26" customWidth="1"/>
    <col min="22" max="22" width="3.25" style="26" hidden="1" customWidth="1"/>
    <col min="23" max="23" width="16.75" style="26" customWidth="1"/>
    <col min="24" max="24" width="4.625" style="25" customWidth="1"/>
    <col min="25" max="25" width="12.25" style="26" customWidth="1"/>
    <col min="26" max="26" width="5.25" style="24" customWidth="1"/>
    <col min="27" max="27" width="8" style="26" customWidth="1"/>
    <col min="28" max="28" width="7.25" style="26" customWidth="1"/>
    <col min="29" max="29" width="12.25" style="26" hidden="1" customWidth="1"/>
    <col min="30" max="30" width="5.125" style="25" customWidth="1"/>
    <col min="31" max="31" width="8.25" style="26" hidden="1" customWidth="1"/>
    <col min="32" max="32" width="7" style="26" customWidth="1" outlineLevel="1"/>
    <col min="33" max="33" width="3.875" style="25" customWidth="1" outlineLevel="1"/>
    <col min="34" max="34" width="5.125" style="25" customWidth="1" outlineLevel="1"/>
    <col min="35" max="35" width="3.5" style="26" customWidth="1" outlineLevel="1"/>
    <col min="36" max="36" width="2.75" style="26" customWidth="1" outlineLevel="1"/>
    <col min="37" max="37" width="10.875" style="26" customWidth="1" outlineLevel="1"/>
    <col min="38" max="38" width="7.75" style="29" customWidth="1" outlineLevel="1"/>
    <col min="39" max="39" width="5.625" style="25" customWidth="1" outlineLevel="1"/>
    <col min="40" max="40" width="7.5" style="26" customWidth="1" outlineLevel="1"/>
    <col min="41" max="41" width="12.875" style="43" customWidth="1" outlineLevel="1"/>
    <col min="42" max="42" width="6.25" style="26" customWidth="1" outlineLevel="1"/>
    <col min="43" max="43" width="7" style="26" customWidth="1" outlineLevel="1"/>
    <col min="44" max="44" width="14.5" style="26" customWidth="1" outlineLevel="1"/>
    <col min="45" max="45" width="9" style="26" customWidth="1" outlineLevel="1"/>
    <col min="46" max="16384" width="9" style="26"/>
  </cols>
  <sheetData>
    <row r="1" spans="1:45" s="29" customFormat="1" ht="15.75" customHeight="1" x14ac:dyDescent="0.35">
      <c r="A1" s="14" t="s">
        <v>3</v>
      </c>
      <c r="B1" s="14" t="s">
        <v>4</v>
      </c>
      <c r="C1" s="14" t="s">
        <v>0</v>
      </c>
      <c r="D1" s="14" t="s">
        <v>1</v>
      </c>
      <c r="E1" s="55" t="s">
        <v>2</v>
      </c>
      <c r="F1" s="14" t="s">
        <v>6</v>
      </c>
      <c r="G1" s="14"/>
      <c r="H1" s="14" t="s">
        <v>188</v>
      </c>
      <c r="I1" s="14" t="s">
        <v>271</v>
      </c>
      <c r="J1" s="14" t="s">
        <v>0</v>
      </c>
      <c r="K1" s="14" t="s">
        <v>245</v>
      </c>
      <c r="L1" s="14" t="s">
        <v>290</v>
      </c>
      <c r="M1" s="14" t="s">
        <v>291</v>
      </c>
      <c r="N1" s="10" t="s">
        <v>113</v>
      </c>
      <c r="O1" s="10" t="s">
        <v>158</v>
      </c>
      <c r="P1" s="11" t="s">
        <v>8</v>
      </c>
      <c r="Q1" s="12" t="s">
        <v>244</v>
      </c>
      <c r="R1" s="10" t="s">
        <v>9</v>
      </c>
      <c r="S1" s="51" t="s">
        <v>140</v>
      </c>
      <c r="T1" s="13" t="s">
        <v>156</v>
      </c>
      <c r="U1" s="13" t="s">
        <v>273</v>
      </c>
      <c r="V1" s="13" t="s">
        <v>141</v>
      </c>
      <c r="W1" s="13" t="s">
        <v>63</v>
      </c>
      <c r="X1" s="44" t="s">
        <v>142</v>
      </c>
      <c r="Y1" s="13" t="s">
        <v>9</v>
      </c>
      <c r="Z1" s="66" t="s">
        <v>5</v>
      </c>
      <c r="AA1" s="14" t="s">
        <v>157</v>
      </c>
      <c r="AB1" s="14" t="s">
        <v>62</v>
      </c>
      <c r="AC1" s="14" t="s">
        <v>63</v>
      </c>
      <c r="AD1" s="55" t="s">
        <v>64</v>
      </c>
      <c r="AE1" s="14" t="s">
        <v>159</v>
      </c>
      <c r="AF1" s="14" t="s">
        <v>243</v>
      </c>
      <c r="AG1" s="55" t="s">
        <v>244</v>
      </c>
      <c r="AH1" s="55" t="s">
        <v>269</v>
      </c>
      <c r="AI1" s="27" t="s">
        <v>183</v>
      </c>
      <c r="AJ1" s="14"/>
      <c r="AK1" s="14" t="s">
        <v>5</v>
      </c>
      <c r="AL1" s="14" t="s">
        <v>259</v>
      </c>
      <c r="AM1" s="55" t="s">
        <v>244</v>
      </c>
      <c r="AN1" s="14" t="s">
        <v>159</v>
      </c>
      <c r="AO1" s="28" t="s">
        <v>301</v>
      </c>
      <c r="AP1" s="14"/>
      <c r="AQ1" s="14"/>
      <c r="AR1" s="14"/>
      <c r="AS1" s="14"/>
    </row>
    <row r="2" spans="1:45" ht="110.25" customHeight="1" x14ac:dyDescent="0.35">
      <c r="A2" s="56" t="str">
        <f t="shared" ref="A2:A10" si="0">IF(ISBLANK(X2),"",X2)</f>
        <v>shenfh@inspur.com</v>
      </c>
      <c r="B2" s="15" t="str">
        <f>Q2&amp;$L$2&amp;AH2</f>
        <v>shenfh@inspur.com;;shenfh@inspur.com;</v>
      </c>
      <c r="C2" s="16" t="str">
        <f>$J$2&amp;"-"&amp;F2</f>
        <v>FY2017CSG目标月度分解通知-测试</v>
      </c>
      <c r="D2" s="17" t="str">
        <f>U2&amp;$M$2</f>
        <v>A总，
      您好！截止目前未收到贵单位关于FY2017目标月度分解的确认意见，CSG己按产业分解稿上报集团审核，敬请知悉.
            云服务集团市场部</v>
      </c>
      <c r="E2" s="56"/>
      <c r="F2" s="57" t="s">
        <v>7</v>
      </c>
      <c r="G2" s="30" t="s">
        <v>183</v>
      </c>
      <c r="H2" s="60">
        <v>1</v>
      </c>
      <c r="I2" s="60"/>
      <c r="J2" s="76" t="s">
        <v>536</v>
      </c>
      <c r="K2" s="75" t="s">
        <v>535</v>
      </c>
      <c r="L2" s="16" t="s">
        <v>258</v>
      </c>
      <c r="M2" s="77" t="s">
        <v>537</v>
      </c>
      <c r="N2" s="5" t="s">
        <v>174</v>
      </c>
      <c r="O2" s="6" t="s">
        <v>184</v>
      </c>
      <c r="P2" s="7">
        <v>15589965595</v>
      </c>
      <c r="Q2" s="25" t="s">
        <v>299</v>
      </c>
      <c r="R2" s="6"/>
      <c r="S2" s="52"/>
      <c r="T2" s="9" t="s">
        <v>186</v>
      </c>
      <c r="U2" s="9" t="s">
        <v>274</v>
      </c>
      <c r="V2" s="8"/>
      <c r="W2" s="9">
        <v>15589965595</v>
      </c>
      <c r="X2" s="45" t="s">
        <v>299</v>
      </c>
      <c r="Y2" s="9"/>
      <c r="Z2" s="67"/>
      <c r="AA2" s="33" t="s">
        <v>185</v>
      </c>
      <c r="AB2" s="62" t="s">
        <v>183</v>
      </c>
      <c r="AC2" s="33">
        <v>15589965595</v>
      </c>
      <c r="AD2" s="23" t="s">
        <v>299</v>
      </c>
      <c r="AE2" s="34"/>
      <c r="AF2" s="63" t="s">
        <v>183</v>
      </c>
      <c r="AG2" s="56"/>
      <c r="AH2" s="56" t="str">
        <f>AM2&amp;";"&amp;AD2&amp;";"&amp;AG2</f>
        <v>;shenfh@inspur.com;</v>
      </c>
      <c r="AI2" s="35" t="s">
        <v>183</v>
      </c>
      <c r="AJ2" s="35" t="s">
        <v>183</v>
      </c>
      <c r="AK2" s="58"/>
      <c r="AL2" s="37"/>
      <c r="AM2" s="23"/>
      <c r="AN2" s="19"/>
      <c r="AO2" s="20"/>
      <c r="AP2" s="19"/>
      <c r="AQ2" s="19"/>
      <c r="AR2" s="19"/>
      <c r="AS2" s="19"/>
    </row>
    <row r="3" spans="1:45" ht="16.5" customHeight="1" x14ac:dyDescent="0.35">
      <c r="A3" s="23" t="str">
        <f t="shared" si="0"/>
        <v>zhaoww@inspur.com</v>
      </c>
      <c r="B3" s="18" t="str">
        <f>Q3&amp;$L$2&amp;$L$2&amp;$K$2</f>
        <v>zhangge@inspur.com;;chiyk@inspur.com;kangzp@inspur.com;tangjing@inspur.com;</v>
      </c>
      <c r="C3" s="16" t="str">
        <f t="shared" ref="C3:C10" si="1">$J$2&amp;"-"&amp;F3</f>
        <v>FY2017CSG目标月度分解通知-山东区</v>
      </c>
      <c r="D3" s="20" t="str">
        <f t="shared" ref="D3:D10" si="2">U3&amp;$M$2</f>
        <v>赵总，
      您好！截止目前未收到贵单位关于FY2017目标月度分解的确认意见，CSG己按产业分解稿上报集团审核，敬请知悉.
            云服务集团市场部</v>
      </c>
      <c r="E3" s="23"/>
      <c r="F3" s="69" t="s">
        <v>365</v>
      </c>
      <c r="G3" s="30"/>
      <c r="H3" s="61">
        <v>1</v>
      </c>
      <c r="I3" s="61" t="s">
        <v>365</v>
      </c>
      <c r="J3" s="36"/>
      <c r="M3" s="59" t="s">
        <v>318</v>
      </c>
      <c r="N3" s="46" t="s">
        <v>65</v>
      </c>
      <c r="O3" s="1" t="s">
        <v>40</v>
      </c>
      <c r="P3" s="1">
        <v>13305319906</v>
      </c>
      <c r="Q3" s="23" t="s">
        <v>41</v>
      </c>
      <c r="R3" s="21"/>
      <c r="S3" s="53" t="s">
        <v>270</v>
      </c>
      <c r="T3" s="37" t="s">
        <v>150</v>
      </c>
      <c r="U3" s="50" t="s">
        <v>275</v>
      </c>
      <c r="V3" s="19" t="s">
        <v>165</v>
      </c>
      <c r="W3" s="19">
        <v>15805316658</v>
      </c>
      <c r="X3" s="23" t="s">
        <v>304</v>
      </c>
      <c r="Y3" s="19"/>
      <c r="Z3" s="68" t="s">
        <v>270</v>
      </c>
      <c r="AA3" s="37" t="s">
        <v>444</v>
      </c>
      <c r="AB3" s="19" t="s">
        <v>66</v>
      </c>
      <c r="AC3" s="19">
        <v>18905310812</v>
      </c>
      <c r="AD3" s="23" t="s">
        <v>175</v>
      </c>
      <c r="AE3" s="19"/>
      <c r="AF3" s="64" t="s">
        <v>183</v>
      </c>
      <c r="AG3" s="23"/>
      <c r="AH3" s="23" t="str">
        <f t="shared" ref="AH3:AH10" si="3">AM3&amp;";"&amp;AD3&amp;";"&amp;AG3</f>
        <v>;zhuln@inspur.com;</v>
      </c>
      <c r="AI3" s="35" t="s">
        <v>183</v>
      </c>
      <c r="AJ3" s="35" t="s">
        <v>183</v>
      </c>
      <c r="AK3" s="54" t="s">
        <v>65</v>
      </c>
      <c r="AL3" s="37"/>
      <c r="AM3" s="23"/>
      <c r="AN3" s="19"/>
      <c r="AO3" s="20"/>
      <c r="AP3" s="37" t="s">
        <v>190</v>
      </c>
      <c r="AQ3" s="19" t="s">
        <v>217</v>
      </c>
      <c r="AR3" s="19"/>
      <c r="AS3" s="19"/>
    </row>
    <row r="4" spans="1:45" ht="15.75" customHeight="1" x14ac:dyDescent="0.35">
      <c r="A4" s="23" t="str">
        <f t="shared" si="0"/>
        <v>dengpf@inspur.com</v>
      </c>
      <c r="B4" s="18" t="str">
        <f t="shared" ref="B4:B10" si="4">Q4&amp;$L$2&amp;$L$2&amp;$K$2</f>
        <v>wangrsh@inspur.com;;chiyk@inspur.com;kangzp@inspur.com;tangjing@inspur.com;</v>
      </c>
      <c r="C4" s="16" t="str">
        <f t="shared" si="1"/>
        <v>FY2017CSG目标月度分解通知-四川区</v>
      </c>
      <c r="D4" s="20" t="str">
        <f t="shared" si="2"/>
        <v>邓总，
      您好！截止目前未收到贵单位关于FY2017目标月度分解的确认意见，CSG己按产业分解稿上报集团审核，敬请知悉.
            云服务集团市场部</v>
      </c>
      <c r="E4" s="23"/>
      <c r="F4" s="1" t="s">
        <v>369</v>
      </c>
      <c r="G4" s="30"/>
      <c r="H4" s="61">
        <v>1</v>
      </c>
      <c r="I4" s="61" t="s">
        <v>369</v>
      </c>
      <c r="J4" s="36"/>
      <c r="N4" s="47" t="s">
        <v>81</v>
      </c>
      <c r="O4" s="1" t="s">
        <v>48</v>
      </c>
      <c r="P4" s="1">
        <v>18605319139</v>
      </c>
      <c r="Q4" s="23" t="s">
        <v>49</v>
      </c>
      <c r="R4" s="21"/>
      <c r="S4" s="53" t="s">
        <v>137</v>
      </c>
      <c r="T4" s="37" t="s">
        <v>396</v>
      </c>
      <c r="U4" s="50" t="s">
        <v>399</v>
      </c>
      <c r="V4" s="19" t="s">
        <v>398</v>
      </c>
      <c r="W4" s="19">
        <v>18980746446</v>
      </c>
      <c r="X4" s="23" t="s">
        <v>397</v>
      </c>
      <c r="Y4" s="19"/>
      <c r="Z4" s="68" t="s">
        <v>137</v>
      </c>
      <c r="AA4" s="37" t="s">
        <v>452</v>
      </c>
      <c r="AB4" s="19" t="s">
        <v>80</v>
      </c>
      <c r="AC4" s="19">
        <v>18782947519</v>
      </c>
      <c r="AD4" s="23" t="s">
        <v>177</v>
      </c>
      <c r="AE4" s="19"/>
      <c r="AF4" s="37" t="s">
        <v>192</v>
      </c>
      <c r="AG4" s="23" t="s">
        <v>400</v>
      </c>
      <c r="AH4" s="23" t="str">
        <f t="shared" si="3"/>
        <v>;pengmin@inspur.com;caomi@inspur.com;dumenglan@inspur.com</v>
      </c>
      <c r="AI4" s="35" t="s">
        <v>183</v>
      </c>
      <c r="AJ4" s="35" t="s">
        <v>183</v>
      </c>
      <c r="AK4" s="54" t="s">
        <v>137</v>
      </c>
      <c r="AL4" s="37"/>
      <c r="AM4" s="23"/>
      <c r="AN4" s="19"/>
      <c r="AO4" s="20"/>
      <c r="AP4" s="37"/>
      <c r="AQ4" s="19"/>
      <c r="AR4" s="19"/>
      <c r="AS4" s="19"/>
    </row>
    <row r="5" spans="1:45" ht="15.75" customHeight="1" x14ac:dyDescent="0.35">
      <c r="A5" s="23" t="str">
        <f t="shared" si="0"/>
        <v>tuhua@inspur.com</v>
      </c>
      <c r="B5" s="18" t="str">
        <f t="shared" si="4"/>
        <v>hujun@inspur.com;;chiyk@inspur.com;kangzp@inspur.com;tangjing@inspur.com;</v>
      </c>
      <c r="C5" s="16" t="str">
        <f t="shared" si="1"/>
        <v>FY2017CSG目标月度分解通知-湖北区</v>
      </c>
      <c r="D5" s="20" t="str">
        <f t="shared" si="2"/>
        <v>涂总，
      您好！截止目前未收到贵单位关于FY2017目标月度分解的确认意见，CSG己按产业分解稿上报集团审核，敬请知悉.
            云服务集团市场部</v>
      </c>
      <c r="E5" s="23"/>
      <c r="F5" s="70" t="s">
        <v>372</v>
      </c>
      <c r="G5" s="30"/>
      <c r="H5" s="61">
        <v>1</v>
      </c>
      <c r="I5" s="61" t="s">
        <v>373</v>
      </c>
      <c r="J5" s="36"/>
      <c r="N5" s="46" t="s">
        <v>74</v>
      </c>
      <c r="O5" s="1" t="s">
        <v>26</v>
      </c>
      <c r="P5" s="1">
        <v>13387554488</v>
      </c>
      <c r="Q5" s="23" t="s">
        <v>27</v>
      </c>
      <c r="R5" s="21"/>
      <c r="S5" s="53" t="s">
        <v>134</v>
      </c>
      <c r="T5" s="37" t="s">
        <v>153</v>
      </c>
      <c r="U5" s="50" t="s">
        <v>278</v>
      </c>
      <c r="V5" s="19"/>
      <c r="W5" s="19">
        <v>18627079899</v>
      </c>
      <c r="X5" s="23" t="s">
        <v>306</v>
      </c>
      <c r="Y5" s="19"/>
      <c r="Z5" s="68" t="s">
        <v>134</v>
      </c>
      <c r="AA5" s="37" t="s">
        <v>459</v>
      </c>
      <c r="AB5" s="19" t="s">
        <v>73</v>
      </c>
      <c r="AC5" s="19">
        <v>18607145067</v>
      </c>
      <c r="AD5" s="23" t="s">
        <v>179</v>
      </c>
      <c r="AE5" s="19"/>
      <c r="AF5" s="37" t="s">
        <v>193</v>
      </c>
      <c r="AG5" s="23" t="s">
        <v>219</v>
      </c>
      <c r="AH5" s="23" t="str">
        <f t="shared" si="3"/>
        <v>;liuff@inspur.com;liaoc@inspur.com</v>
      </c>
      <c r="AI5" s="35" t="s">
        <v>183</v>
      </c>
      <c r="AJ5" s="35" t="s">
        <v>183</v>
      </c>
      <c r="AK5" s="54" t="s">
        <v>134</v>
      </c>
      <c r="AL5" s="37"/>
      <c r="AM5" s="23"/>
      <c r="AN5" s="19"/>
      <c r="AO5" s="20"/>
      <c r="AP5" s="37"/>
      <c r="AQ5" s="19"/>
      <c r="AR5" s="19"/>
      <c r="AS5" s="19"/>
    </row>
    <row r="6" spans="1:45" ht="15.75" customHeight="1" x14ac:dyDescent="0.35">
      <c r="A6" s="23" t="str">
        <f t="shared" si="0"/>
        <v>yanglei-sh@inspur.com</v>
      </c>
      <c r="B6" s="18" t="str">
        <f t="shared" si="4"/>
        <v>sunyzh@inspur.com;;chiyk@inspur.com;kangzp@inspur.com;tangjing@inspur.com;</v>
      </c>
      <c r="C6" s="16" t="str">
        <f t="shared" si="1"/>
        <v>FY2017CSG目标月度分解通知-上海区</v>
      </c>
      <c r="D6" s="20" t="str">
        <f t="shared" si="2"/>
        <v>杨总，
      您好！截止目前未收到贵单位关于FY2017目标月度分解的确认意见，CSG己按产业分解稿上报集团审核，敬请知悉.
            云服务集团市场部</v>
      </c>
      <c r="E6" s="23"/>
      <c r="F6" s="70" t="s">
        <v>373</v>
      </c>
      <c r="G6" s="30"/>
      <c r="H6" s="61">
        <v>1</v>
      </c>
      <c r="I6" s="61" t="s">
        <v>372</v>
      </c>
      <c r="J6" s="36"/>
      <c r="N6" s="46" t="s">
        <v>87</v>
      </c>
      <c r="O6" s="1" t="s">
        <v>46</v>
      </c>
      <c r="P6" s="1">
        <v>18660106708</v>
      </c>
      <c r="Q6" s="23" t="s">
        <v>47</v>
      </c>
      <c r="R6" s="21"/>
      <c r="S6" s="53" t="s">
        <v>133</v>
      </c>
      <c r="T6" s="37" t="s">
        <v>405</v>
      </c>
      <c r="U6" s="50" t="s">
        <v>316</v>
      </c>
      <c r="V6" s="19"/>
      <c r="W6" s="19">
        <v>13801950374</v>
      </c>
      <c r="X6" s="23" t="s">
        <v>404</v>
      </c>
      <c r="Y6" s="19"/>
      <c r="Z6" s="68" t="s">
        <v>133</v>
      </c>
      <c r="AA6" s="37" t="s">
        <v>461</v>
      </c>
      <c r="AB6" s="19" t="s">
        <v>66</v>
      </c>
      <c r="AC6" s="19">
        <v>13120582588</v>
      </c>
      <c r="AD6" s="23" t="s">
        <v>88</v>
      </c>
      <c r="AE6" s="19"/>
      <c r="AF6" s="37"/>
      <c r="AG6" s="23" t="s">
        <v>183</v>
      </c>
      <c r="AH6" s="23" t="str">
        <f t="shared" si="3"/>
        <v>;zhangyingchao@inspur.com;</v>
      </c>
      <c r="AI6" s="35" t="s">
        <v>183</v>
      </c>
      <c r="AJ6" s="35" t="s">
        <v>183</v>
      </c>
      <c r="AK6" s="54" t="s">
        <v>133</v>
      </c>
      <c r="AL6" s="37"/>
      <c r="AM6" s="23"/>
      <c r="AN6" s="19"/>
      <c r="AO6" s="20"/>
      <c r="AP6" s="37"/>
      <c r="AQ6" s="19"/>
      <c r="AR6" s="19"/>
      <c r="AS6" s="19"/>
    </row>
    <row r="7" spans="1:45" ht="15.75" customHeight="1" x14ac:dyDescent="0.35">
      <c r="A7" s="23" t="str">
        <f t="shared" si="0"/>
        <v>lianglin@inspur.com</v>
      </c>
      <c r="B7" s="18" t="str">
        <f t="shared" si="4"/>
        <v>liu.yong@inspur.com;;chiyk@inspur.com;kangzp@inspur.com;tangjing@inspur.com;</v>
      </c>
      <c r="C7" s="16" t="str">
        <f t="shared" si="1"/>
        <v>FY2017CSG目标月度分解通知-广西区</v>
      </c>
      <c r="D7" s="20" t="str">
        <f t="shared" si="2"/>
        <v>梁总，
      您好！截止目前未收到贵单位关于FY2017目标月度分解的确认意见，CSG己按产业分解稿上报集团审核，敬请知悉.
            云服务集团市场部</v>
      </c>
      <c r="E7" s="23"/>
      <c r="F7" s="70" t="s">
        <v>386</v>
      </c>
      <c r="G7" s="30"/>
      <c r="H7" s="61">
        <v>1</v>
      </c>
      <c r="I7" s="61" t="s">
        <v>390</v>
      </c>
      <c r="J7" s="36"/>
      <c r="N7" s="46" t="s">
        <v>105</v>
      </c>
      <c r="O7" s="1" t="s">
        <v>16</v>
      </c>
      <c r="P7" s="1">
        <v>13759533658</v>
      </c>
      <c r="Q7" s="23" t="s">
        <v>17</v>
      </c>
      <c r="R7" s="21"/>
      <c r="S7" s="53" t="s">
        <v>122</v>
      </c>
      <c r="T7" s="37" t="s">
        <v>147</v>
      </c>
      <c r="U7" s="50" t="s">
        <v>283</v>
      </c>
      <c r="V7" s="19" t="s">
        <v>143</v>
      </c>
      <c r="W7" s="19">
        <v>13607710531</v>
      </c>
      <c r="X7" s="23" t="s">
        <v>171</v>
      </c>
      <c r="Y7" s="19"/>
      <c r="Z7" s="68" t="s">
        <v>122</v>
      </c>
      <c r="AA7" s="37" t="s">
        <v>487</v>
      </c>
      <c r="AB7" s="19" t="s">
        <v>73</v>
      </c>
      <c r="AC7" s="19">
        <v>15977759932</v>
      </c>
      <c r="AD7" s="23" t="s">
        <v>106</v>
      </c>
      <c r="AE7" s="19"/>
      <c r="AF7" s="37"/>
      <c r="AG7" s="23" t="s">
        <v>183</v>
      </c>
      <c r="AH7" s="23" t="str">
        <f t="shared" si="3"/>
        <v>;chenshl@inspur.com;</v>
      </c>
      <c r="AI7" s="35" t="s">
        <v>183</v>
      </c>
      <c r="AJ7" s="35" t="s">
        <v>183</v>
      </c>
      <c r="AK7" s="54" t="s">
        <v>122</v>
      </c>
      <c r="AL7" s="37"/>
      <c r="AM7" s="23"/>
      <c r="AN7" s="19"/>
      <c r="AO7" s="20"/>
      <c r="AP7" s="37"/>
      <c r="AQ7" s="19"/>
      <c r="AR7" s="19"/>
      <c r="AS7" s="19"/>
    </row>
    <row r="8" spans="1:45" ht="15.75" customHeight="1" x14ac:dyDescent="0.35">
      <c r="A8" s="23" t="str">
        <f t="shared" si="0"/>
        <v>liangwg@inspur.com</v>
      </c>
      <c r="B8" s="18" t="str">
        <f t="shared" si="4"/>
        <v>tianysh@inspur.com;;chiyk@inspur.com;kangzp@inspur.com;tangjing@inspur.com;</v>
      </c>
      <c r="C8" s="16" t="str">
        <f t="shared" si="1"/>
        <v>FY2017CSG目标月度分解通知-吉林区</v>
      </c>
      <c r="D8" s="20" t="str">
        <f t="shared" si="2"/>
        <v>梁总，
      您好！截止目前未收到贵单位关于FY2017目标月度分解的确认意见，CSG己按产业分解稿上报集团审核，敬请知悉.
            云服务集团市场部</v>
      </c>
      <c r="E8" s="23"/>
      <c r="F8" s="71" t="s">
        <v>390</v>
      </c>
      <c r="G8" s="30"/>
      <c r="H8" s="61">
        <v>1</v>
      </c>
      <c r="I8" s="61"/>
      <c r="J8" s="36"/>
      <c r="N8" s="46" t="s">
        <v>102</v>
      </c>
      <c r="O8" s="2" t="s">
        <v>30</v>
      </c>
      <c r="P8" s="2">
        <v>13904310166</v>
      </c>
      <c r="Q8" s="23" t="s">
        <v>31</v>
      </c>
      <c r="R8" s="21"/>
      <c r="S8" s="53" t="s">
        <v>119</v>
      </c>
      <c r="T8" s="37" t="s">
        <v>293</v>
      </c>
      <c r="U8" s="50" t="s">
        <v>294</v>
      </c>
      <c r="V8" s="19" t="s">
        <v>143</v>
      </c>
      <c r="W8" s="19">
        <v>13904310878</v>
      </c>
      <c r="X8" s="23" t="s">
        <v>309</v>
      </c>
      <c r="Y8" s="19"/>
      <c r="Z8" s="68" t="s">
        <v>119</v>
      </c>
      <c r="AA8" s="37" t="s">
        <v>495</v>
      </c>
      <c r="AB8" s="19" t="s">
        <v>66</v>
      </c>
      <c r="AC8" s="19">
        <v>15104310492</v>
      </c>
      <c r="AD8" s="23" t="s">
        <v>295</v>
      </c>
      <c r="AE8" s="19"/>
      <c r="AF8" s="37"/>
      <c r="AG8" s="23" t="s">
        <v>183</v>
      </c>
      <c r="AH8" s="23" t="str">
        <f t="shared" si="3"/>
        <v>;liupf@inspur.com;</v>
      </c>
      <c r="AI8" s="35" t="s">
        <v>183</v>
      </c>
      <c r="AJ8" s="35" t="s">
        <v>183</v>
      </c>
      <c r="AK8" s="54" t="s">
        <v>119</v>
      </c>
      <c r="AL8" s="37"/>
      <c r="AM8" s="23"/>
      <c r="AN8" s="19"/>
      <c r="AO8" s="20"/>
      <c r="AP8" s="37"/>
      <c r="AQ8" s="19"/>
      <c r="AR8" s="19"/>
      <c r="AS8" s="19"/>
    </row>
    <row r="9" spans="1:45" ht="15.75" customHeight="1" x14ac:dyDescent="0.35">
      <c r="A9" s="23" t="str">
        <f t="shared" si="0"/>
        <v>ye_hui@inspur.com</v>
      </c>
      <c r="B9" s="18" t="str">
        <f t="shared" si="4"/>
        <v>qinchen@inspur.com;;chiyk@inspur.com;kangzp@inspur.com;tangjing@inspur.com;</v>
      </c>
      <c r="C9" s="16" t="str">
        <f t="shared" si="1"/>
        <v>FY2017CSG目标月度分解通知-海南区</v>
      </c>
      <c r="D9" s="20" t="str">
        <f t="shared" si="2"/>
        <v>叶总，
      您好！截止目前未收到贵单位关于FY2017目标月度分解的确认意见，CSG己按产业分解稿上报集团审核，敬请知悉.
            云服务集团市场部</v>
      </c>
      <c r="E9" s="23"/>
      <c r="F9" s="70" t="s">
        <v>392</v>
      </c>
      <c r="G9" s="30"/>
      <c r="H9" s="61">
        <v>1</v>
      </c>
      <c r="I9" s="61"/>
      <c r="J9" s="36"/>
      <c r="N9" s="46" t="s">
        <v>114</v>
      </c>
      <c r="O9" s="1" t="s">
        <v>20</v>
      </c>
      <c r="P9" s="1">
        <v>18608994333</v>
      </c>
      <c r="Q9" s="23" t="s">
        <v>21</v>
      </c>
      <c r="R9" s="21"/>
      <c r="S9" s="53" t="s">
        <v>498</v>
      </c>
      <c r="T9" s="1" t="s">
        <v>532</v>
      </c>
      <c r="U9" s="50" t="s">
        <v>533</v>
      </c>
      <c r="V9" s="19"/>
      <c r="W9" s="19">
        <v>18907623892</v>
      </c>
      <c r="X9" s="4" t="s">
        <v>534</v>
      </c>
      <c r="Y9" s="19"/>
      <c r="Z9" s="68" t="s">
        <v>498</v>
      </c>
      <c r="AA9" s="37" t="s">
        <v>500</v>
      </c>
      <c r="AB9" s="65" t="s">
        <v>183</v>
      </c>
      <c r="AC9" s="19"/>
      <c r="AD9" s="23" t="s">
        <v>234</v>
      </c>
      <c r="AE9" s="19"/>
      <c r="AF9" s="37"/>
      <c r="AG9" s="23" t="s">
        <v>183</v>
      </c>
      <c r="AH9" s="23" t="str">
        <f t="shared" si="3"/>
        <v>;thz@inspur.com;</v>
      </c>
      <c r="AI9" s="35" t="s">
        <v>183</v>
      </c>
      <c r="AJ9" s="35" t="s">
        <v>183</v>
      </c>
      <c r="AK9" s="54" t="s">
        <v>114</v>
      </c>
      <c r="AL9" s="37"/>
      <c r="AM9" s="23"/>
      <c r="AN9" s="19"/>
      <c r="AO9" s="20"/>
      <c r="AP9" s="37"/>
      <c r="AQ9" s="19"/>
      <c r="AR9" s="19"/>
      <c r="AS9" s="19"/>
    </row>
    <row r="10" spans="1:45" ht="15.75" customHeight="1" x14ac:dyDescent="0.35">
      <c r="A10" s="23" t="str">
        <f t="shared" si="0"/>
        <v>songning@inspur.com</v>
      </c>
      <c r="B10" s="18" t="str">
        <f t="shared" si="4"/>
        <v>wangnj@inspur.com;;chiyk@inspur.com;kangzp@inspur.com;tangjing@inspur.com;</v>
      </c>
      <c r="C10" s="16" t="str">
        <f t="shared" si="1"/>
        <v>FY2017CSG目标月度分解通知-宁夏区</v>
      </c>
      <c r="D10" s="20" t="str">
        <f t="shared" si="2"/>
        <v>宋总，
      您好！截止目前未收到贵单位关于FY2017目标月度分解的确认意见，CSG己按产业分解稿上报集团审核，敬请知悉.
            云服务集团市场部</v>
      </c>
      <c r="E10" s="23"/>
      <c r="F10" s="70" t="s">
        <v>393</v>
      </c>
      <c r="G10" s="30"/>
      <c r="H10" s="61">
        <v>1</v>
      </c>
      <c r="I10" s="61"/>
      <c r="J10" s="36"/>
      <c r="N10" s="46" t="s">
        <v>109</v>
      </c>
      <c r="O10" s="1" t="s">
        <v>38</v>
      </c>
      <c r="P10" s="1">
        <v>13309595050</v>
      </c>
      <c r="Q10" s="23" t="s">
        <v>39</v>
      </c>
      <c r="R10" s="21"/>
      <c r="S10" s="53" t="s">
        <v>163</v>
      </c>
      <c r="T10" s="37" t="s">
        <v>155</v>
      </c>
      <c r="U10" s="50" t="s">
        <v>286</v>
      </c>
      <c r="V10" s="19" t="s">
        <v>143</v>
      </c>
      <c r="W10" s="19">
        <v>13909519110</v>
      </c>
      <c r="X10" s="23" t="s">
        <v>173</v>
      </c>
      <c r="Y10" s="19"/>
      <c r="Z10" s="68" t="s">
        <v>163</v>
      </c>
      <c r="AA10" s="37" t="s">
        <v>502</v>
      </c>
      <c r="AB10" s="19" t="s">
        <v>66</v>
      </c>
      <c r="AC10" s="19">
        <v>18991165433</v>
      </c>
      <c r="AD10" s="23" t="s">
        <v>110</v>
      </c>
      <c r="AE10" s="19"/>
      <c r="AF10" s="37"/>
      <c r="AG10" s="23" t="s">
        <v>183</v>
      </c>
      <c r="AH10" s="23" t="str">
        <f t="shared" si="3"/>
        <v>;hanmin@insur.com;</v>
      </c>
      <c r="AI10" s="35" t="s">
        <v>183</v>
      </c>
      <c r="AJ10" s="35" t="s">
        <v>183</v>
      </c>
      <c r="AK10" s="54" t="s">
        <v>163</v>
      </c>
      <c r="AL10" s="37"/>
      <c r="AM10" s="23"/>
      <c r="AN10" s="19"/>
      <c r="AO10" s="20"/>
      <c r="AP10" s="37"/>
      <c r="AQ10" s="19"/>
      <c r="AR10" s="19"/>
      <c r="AS10" s="19"/>
    </row>
  </sheetData>
  <autoFilter ref="A1:AS10"/>
  <phoneticPr fontId="6" type="noConversion"/>
  <hyperlinks>
    <hyperlink ref="AG4" r:id="rId1"/>
    <hyperlink ref="X6" r:id="rId2"/>
    <hyperlink ref="X9" r:id="rId3"/>
    <hyperlink ref="K2" r:id="rId4"/>
  </hyperlink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8561" r:id="rId8" name="Button 1">
              <controlPr defaultSize="0" print="0" autoFill="0" autoPict="0" macro="[0]!批量发送邮件">
                <anchor moveWithCells="1">
                  <from>
                    <xdr:col>1</xdr:col>
                    <xdr:colOff>180975</xdr:colOff>
                    <xdr:row>0</xdr:row>
                    <xdr:rowOff>9525</xdr:rowOff>
                  </from>
                  <to>
                    <xdr:col>1</xdr:col>
                    <xdr:colOff>666750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1</vt:i4>
      </vt:variant>
    </vt:vector>
  </HeadingPairs>
  <TitlesOfParts>
    <vt:vector size="11" baseType="lpstr">
      <vt:lpstr>邮件发送-勿删</vt:lpstr>
      <vt:lpstr>邮件发送（带表格）-勿删</vt:lpstr>
      <vt:lpstr>M15</vt:lpstr>
      <vt:lpstr>Sheet1</vt:lpstr>
      <vt:lpstr>FY2016决算</vt:lpstr>
      <vt:lpstr>邮件发送-勿删 (2)</vt:lpstr>
      <vt:lpstr>发送省区</vt:lpstr>
      <vt:lpstr>W13</vt:lpstr>
      <vt:lpstr>W12</vt:lpstr>
      <vt:lpstr>任务</vt:lpstr>
      <vt:lpstr>发送省区!提取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user1</dc:creator>
  <cp:lastModifiedBy>Andre</cp:lastModifiedBy>
  <dcterms:created xsi:type="dcterms:W3CDTF">2012-04-18T07:55:10Z</dcterms:created>
  <dcterms:modified xsi:type="dcterms:W3CDTF">2017-04-06T01:25:58Z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9bbef30e-14cd-4ea5-aff4-3fb29e7d882c</vt:lpwstr>
  </property>
</Properties>
</file>