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henfh.HOME\Desktop\"/>
    </mc:Choice>
  </mc:AlternateContent>
  <bookViews>
    <workbookView xWindow="0" yWindow="0" windowWidth="2970" windowHeight="1860"/>
  </bookViews>
  <sheets>
    <sheet name="签单" sheetId="64" r:id="rId1"/>
    <sheet name="回款" sheetId="65" r:id="rId2"/>
  </sheets>
  <functionGroups builtInGroupCount="18"/>
  <definedNames>
    <definedName name="_xlnm._FilterDatabase" localSheetId="1" hidden="1">回款!$A$1:$AC$465</definedName>
    <definedName name="_xlnm._FilterDatabase" localSheetId="0" hidden="1">签单!$A$1:$AC$208</definedName>
    <definedName name="Index_Sheet_Kutools">#REF!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49" i="65" l="1"/>
  <c r="W249" i="65"/>
  <c r="T249" i="65"/>
  <c r="S249" i="65"/>
  <c r="X248" i="65"/>
  <c r="W248" i="65"/>
  <c r="T248" i="65"/>
  <c r="S248" i="65"/>
  <c r="X247" i="65"/>
  <c r="W247" i="65"/>
  <c r="T247" i="65"/>
  <c r="S247" i="65"/>
  <c r="T246" i="65"/>
  <c r="S246" i="65"/>
  <c r="T4" i="65"/>
  <c r="T3" i="65"/>
  <c r="S3" i="65"/>
  <c r="T245" i="65"/>
  <c r="S245" i="65"/>
  <c r="T244" i="65"/>
  <c r="S244" i="65"/>
  <c r="T2" i="65"/>
  <c r="S2" i="65"/>
  <c r="T243" i="65"/>
  <c r="S243" i="65"/>
  <c r="T242" i="65"/>
  <c r="S242" i="65"/>
  <c r="T241" i="65"/>
  <c r="S241" i="65"/>
  <c r="T240" i="65"/>
  <c r="S240" i="65"/>
  <c r="T239" i="65"/>
  <c r="S239" i="65"/>
  <c r="T238" i="65"/>
  <c r="S238" i="65"/>
  <c r="T237" i="65"/>
  <c r="S237" i="65"/>
  <c r="T236" i="65"/>
  <c r="S236" i="65"/>
  <c r="X198" i="65"/>
  <c r="W198" i="65"/>
  <c r="T198" i="65"/>
  <c r="S198" i="65"/>
  <c r="X197" i="65"/>
  <c r="W197" i="65"/>
  <c r="T197" i="65"/>
  <c r="S197" i="65"/>
  <c r="X196" i="65"/>
  <c r="W196" i="65"/>
  <c r="T196" i="65"/>
  <c r="S196" i="65"/>
  <c r="X195" i="65"/>
  <c r="W195" i="65"/>
  <c r="T195" i="65"/>
  <c r="S195" i="65"/>
  <c r="X194" i="65"/>
  <c r="W194" i="65"/>
  <c r="T194" i="65"/>
  <c r="S194" i="65"/>
  <c r="X193" i="65"/>
  <c r="W193" i="65"/>
  <c r="T193" i="65"/>
  <c r="S193" i="65"/>
  <c r="X192" i="65"/>
  <c r="W192" i="65"/>
  <c r="T192" i="65"/>
  <c r="S192" i="65"/>
  <c r="X191" i="65"/>
  <c r="W191" i="65"/>
  <c r="T191" i="65"/>
  <c r="S191" i="65"/>
  <c r="X190" i="65"/>
  <c r="W190" i="65"/>
  <c r="T190" i="65"/>
  <c r="S190" i="65"/>
  <c r="X189" i="65"/>
  <c r="W189" i="65"/>
  <c r="T189" i="65"/>
  <c r="S189" i="65"/>
  <c r="X188" i="65"/>
  <c r="W188" i="65"/>
  <c r="T188" i="65"/>
  <c r="S188" i="65"/>
  <c r="T187" i="65"/>
  <c r="S187" i="65"/>
  <c r="Q187" i="65"/>
  <c r="T186" i="65"/>
  <c r="S186" i="65"/>
  <c r="T185" i="65"/>
  <c r="S185" i="65"/>
  <c r="T184" i="65"/>
  <c r="S184" i="65"/>
  <c r="Q184" i="65"/>
  <c r="T183" i="65"/>
  <c r="S183" i="65"/>
  <c r="Q183" i="65"/>
  <c r="T182" i="65"/>
  <c r="S182" i="65"/>
  <c r="Q182" i="65"/>
  <c r="T181" i="65"/>
  <c r="S181" i="65"/>
  <c r="Q181" i="65"/>
  <c r="T180" i="65"/>
  <c r="S180" i="65"/>
  <c r="T179" i="65"/>
  <c r="S179" i="65"/>
  <c r="Q179" i="65"/>
  <c r="T178" i="65"/>
  <c r="S178" i="65"/>
  <c r="T177" i="65"/>
  <c r="S177" i="65"/>
  <c r="Q177" i="65"/>
  <c r="T176" i="65"/>
  <c r="S176" i="65"/>
  <c r="Q176" i="65"/>
  <c r="T175" i="65"/>
  <c r="S175" i="65"/>
  <c r="Q175" i="65"/>
  <c r="T174" i="65"/>
  <c r="S174" i="65"/>
  <c r="Q174" i="65"/>
  <c r="T173" i="65"/>
  <c r="S173" i="65"/>
  <c r="Q173" i="65"/>
  <c r="T172" i="65"/>
  <c r="S172" i="65"/>
  <c r="T171" i="65"/>
  <c r="S171" i="65"/>
  <c r="Q171" i="65"/>
  <c r="X170" i="65"/>
  <c r="W170" i="65"/>
  <c r="T170" i="65"/>
  <c r="S170" i="65"/>
  <c r="T169" i="65"/>
  <c r="S169" i="65"/>
  <c r="Q169" i="65"/>
  <c r="T168" i="65"/>
  <c r="S168" i="65"/>
  <c r="T167" i="65"/>
  <c r="S167" i="65"/>
  <c r="T166" i="65"/>
  <c r="S166" i="65"/>
  <c r="Q166" i="65"/>
  <c r="T165" i="65"/>
  <c r="S165" i="65"/>
  <c r="T164" i="65"/>
  <c r="S164" i="65"/>
  <c r="Q164" i="65"/>
  <c r="T163" i="65"/>
  <c r="S163" i="65"/>
  <c r="T162" i="65"/>
  <c r="S162" i="65"/>
  <c r="Q162" i="65"/>
  <c r="T161" i="65"/>
  <c r="S161" i="65"/>
  <c r="Q161" i="65"/>
  <c r="T160" i="65"/>
  <c r="S160" i="65"/>
  <c r="Q160" i="65"/>
  <c r="T159" i="65"/>
  <c r="S159" i="65"/>
  <c r="Q159" i="65"/>
  <c r="T158" i="65"/>
  <c r="S158" i="65"/>
  <c r="T157" i="65"/>
  <c r="S157" i="65"/>
  <c r="T156" i="65"/>
  <c r="S156" i="65"/>
  <c r="T155" i="65"/>
  <c r="S155" i="65"/>
  <c r="Q155" i="65"/>
  <c r="T154" i="65"/>
  <c r="S154" i="65"/>
  <c r="T153" i="65"/>
  <c r="S153" i="65"/>
  <c r="Q153" i="65"/>
  <c r="T152" i="65"/>
  <c r="S152" i="65"/>
  <c r="Q152" i="65"/>
  <c r="T151" i="65"/>
  <c r="S151" i="65"/>
  <c r="Q151" i="65"/>
  <c r="T150" i="65"/>
  <c r="S150" i="65"/>
  <c r="T149" i="65"/>
  <c r="S149" i="65"/>
  <c r="T148" i="65"/>
  <c r="S148" i="65"/>
  <c r="T147" i="65"/>
  <c r="S147" i="65"/>
  <c r="Q147" i="65"/>
  <c r="T146" i="65"/>
  <c r="S146" i="65"/>
  <c r="Q146" i="65"/>
  <c r="T145" i="65"/>
  <c r="S145" i="65"/>
  <c r="Q145" i="65"/>
  <c r="T144" i="65"/>
  <c r="S144" i="65"/>
  <c r="Q144" i="65"/>
  <c r="T143" i="65"/>
  <c r="S143" i="65"/>
  <c r="Q143" i="65"/>
  <c r="X142" i="65"/>
  <c r="W142" i="65"/>
  <c r="T142" i="65"/>
  <c r="S142" i="65"/>
  <c r="Q142" i="65"/>
  <c r="T141" i="65"/>
  <c r="S141" i="65"/>
  <c r="T140" i="65"/>
  <c r="S140" i="65"/>
  <c r="T139" i="65"/>
  <c r="S139" i="65"/>
  <c r="Q139" i="65"/>
  <c r="T138" i="65"/>
  <c r="S138" i="65"/>
  <c r="T137" i="65"/>
  <c r="S137" i="65"/>
  <c r="Q137" i="65"/>
  <c r="T136" i="65"/>
  <c r="S136" i="65"/>
  <c r="Q136" i="65"/>
  <c r="T135" i="65"/>
  <c r="S135" i="65"/>
  <c r="Q135" i="65"/>
  <c r="T134" i="65"/>
  <c r="S134" i="65"/>
  <c r="T133" i="65"/>
  <c r="S133" i="65"/>
  <c r="T132" i="65"/>
  <c r="S132" i="65"/>
  <c r="T131" i="65"/>
  <c r="S131" i="65"/>
  <c r="Q131" i="65"/>
  <c r="T130" i="65"/>
  <c r="S130" i="65"/>
  <c r="T129" i="65"/>
  <c r="S129" i="65"/>
  <c r="Q129" i="65"/>
  <c r="T128" i="65"/>
  <c r="S128" i="65"/>
  <c r="X127" i="65"/>
  <c r="W127" i="65"/>
  <c r="T127" i="65"/>
  <c r="S127" i="65"/>
  <c r="Q127" i="65"/>
  <c r="X126" i="65"/>
  <c r="W126" i="65"/>
  <c r="T126" i="65"/>
  <c r="S126" i="65"/>
  <c r="Q126" i="65"/>
  <c r="S16" i="65"/>
  <c r="T16" i="65" s="1"/>
  <c r="W15" i="65"/>
  <c r="T15" i="65"/>
  <c r="S15" i="65"/>
  <c r="W14" i="65"/>
  <c r="X14" i="65" s="1"/>
  <c r="T14" i="65"/>
  <c r="S14" i="65"/>
  <c r="V113" i="64"/>
  <c r="U113" i="64"/>
  <c r="R113" i="64"/>
  <c r="Q113" i="64"/>
  <c r="V112" i="64"/>
  <c r="U112" i="64"/>
  <c r="R112" i="64"/>
  <c r="Q112" i="64"/>
  <c r="V111" i="64"/>
  <c r="U111" i="64"/>
  <c r="R111" i="64"/>
  <c r="Q111" i="64"/>
  <c r="V110" i="64"/>
  <c r="U110" i="64"/>
  <c r="R110" i="64"/>
  <c r="Q110" i="64"/>
  <c r="V109" i="64"/>
  <c r="U109" i="64"/>
  <c r="R109" i="64"/>
  <c r="Q109" i="64"/>
  <c r="R108" i="64"/>
  <c r="Q108" i="64"/>
  <c r="R107" i="64"/>
  <c r="Q107" i="64"/>
  <c r="R106" i="64"/>
  <c r="Q106" i="64"/>
  <c r="R105" i="64"/>
  <c r="Q105" i="64"/>
  <c r="R104" i="64"/>
  <c r="Q104" i="64"/>
  <c r="R103" i="64"/>
  <c r="Q103" i="64"/>
  <c r="V87" i="64"/>
  <c r="U87" i="64"/>
  <c r="R87" i="64"/>
  <c r="Q87" i="64"/>
  <c r="V86" i="64"/>
  <c r="U86" i="64"/>
  <c r="R86" i="64"/>
  <c r="Q86" i="64"/>
  <c r="V85" i="64"/>
  <c r="U85" i="64"/>
  <c r="R85" i="64"/>
  <c r="Q85" i="64"/>
  <c r="V84" i="64"/>
  <c r="U84" i="64"/>
  <c r="R84" i="64"/>
  <c r="Q84" i="64"/>
  <c r="V83" i="64"/>
  <c r="U83" i="64"/>
  <c r="R83" i="64"/>
  <c r="Q83" i="64"/>
  <c r="V82" i="64"/>
  <c r="U82" i="64"/>
  <c r="R82" i="64"/>
  <c r="Q82" i="64"/>
  <c r="V81" i="64"/>
  <c r="U81" i="64"/>
  <c r="R81" i="64"/>
  <c r="Q81" i="64"/>
  <c r="V80" i="64"/>
  <c r="U80" i="64"/>
  <c r="R80" i="64"/>
  <c r="Q80" i="64"/>
  <c r="V79" i="64"/>
  <c r="U79" i="64"/>
  <c r="R79" i="64"/>
  <c r="Q79" i="64"/>
  <c r="V78" i="64"/>
  <c r="U78" i="64"/>
  <c r="R78" i="64"/>
  <c r="Q78" i="64"/>
  <c r="R77" i="64"/>
  <c r="Q77" i="64"/>
  <c r="R76" i="64"/>
  <c r="Q76" i="64"/>
  <c r="R75" i="64"/>
  <c r="Q75" i="64"/>
  <c r="R74" i="64"/>
  <c r="Q74" i="64"/>
  <c r="R73" i="64"/>
  <c r="Q73" i="64"/>
  <c r="R72" i="64"/>
  <c r="Q72" i="64"/>
  <c r="R71" i="64"/>
  <c r="Q71" i="64"/>
  <c r="R70" i="64"/>
  <c r="Q70" i="64"/>
  <c r="R69" i="64"/>
  <c r="Q69" i="64"/>
  <c r="R68" i="64"/>
  <c r="Q68" i="64"/>
  <c r="R67" i="64"/>
  <c r="Q67" i="64"/>
  <c r="R66" i="64"/>
  <c r="Q66" i="64"/>
  <c r="R65" i="64"/>
  <c r="Q65" i="64"/>
  <c r="R64" i="64"/>
  <c r="Q64" i="64"/>
  <c r="R63" i="64"/>
  <c r="Q63" i="64"/>
  <c r="R62" i="64"/>
  <c r="Q62" i="64"/>
  <c r="R61" i="64"/>
  <c r="Q61" i="64"/>
  <c r="V60" i="64"/>
  <c r="U60" i="64"/>
  <c r="R60" i="64"/>
  <c r="Q60" i="64"/>
  <c r="R59" i="64"/>
  <c r="Q59" i="64"/>
  <c r="R58" i="64"/>
  <c r="Q58" i="64"/>
  <c r="R57" i="64"/>
  <c r="Q57" i="64"/>
  <c r="R56" i="64"/>
  <c r="Q56" i="64"/>
  <c r="R55" i="64"/>
  <c r="Q55" i="64"/>
  <c r="R54" i="64"/>
  <c r="Q54" i="64"/>
  <c r="R53" i="64"/>
  <c r="Q53" i="64"/>
  <c r="R52" i="64"/>
  <c r="Q52" i="64"/>
  <c r="V51" i="64"/>
  <c r="U51" i="64"/>
  <c r="R51" i="64"/>
  <c r="Q51" i="64"/>
  <c r="O51" i="64"/>
  <c r="V50" i="64"/>
  <c r="U50" i="64"/>
  <c r="R50" i="64"/>
  <c r="Q50" i="64"/>
  <c r="V49" i="64"/>
  <c r="U49" i="64"/>
  <c r="R49" i="64"/>
  <c r="Q49" i="64"/>
  <c r="V48" i="64"/>
  <c r="U48" i="64"/>
  <c r="R48" i="64"/>
  <c r="Q48" i="64"/>
  <c r="V47" i="64"/>
  <c r="U47" i="64"/>
  <c r="R47" i="64"/>
  <c r="Q47" i="64"/>
  <c r="V46" i="64"/>
  <c r="U46" i="64"/>
  <c r="R46" i="64"/>
  <c r="Q46" i="64"/>
  <c r="V45" i="64"/>
  <c r="U45" i="64"/>
  <c r="R45" i="64"/>
  <c r="Q45" i="64"/>
  <c r="V44" i="64"/>
  <c r="U44" i="64"/>
  <c r="R44" i="64"/>
  <c r="Q44" i="64"/>
  <c r="V43" i="64"/>
  <c r="U43" i="64"/>
  <c r="R43" i="64"/>
  <c r="Q43" i="64"/>
  <c r="V42" i="64"/>
  <c r="U42" i="64"/>
  <c r="R42" i="64"/>
  <c r="Q42" i="64"/>
  <c r="V41" i="64"/>
  <c r="U41" i="64"/>
  <c r="R41" i="64"/>
  <c r="Q41" i="64"/>
  <c r="V40" i="64"/>
  <c r="U40" i="64"/>
  <c r="R40" i="64"/>
  <c r="Q40" i="64"/>
</calcChain>
</file>

<file path=xl/sharedStrings.xml><?xml version="1.0" encoding="utf-8"?>
<sst xmlns="http://schemas.openxmlformats.org/spreadsheetml/2006/main" count="5719" uniqueCount="925">
  <si>
    <t>完全主导人</t>
    <phoneticPr fontId="3" type="noConversion"/>
  </si>
  <si>
    <t>新/老客户</t>
  </si>
  <si>
    <t>主要配合人</t>
  </si>
  <si>
    <t>安徽区</t>
    <phoneticPr fontId="3" type="noConversion"/>
  </si>
  <si>
    <t>班彪</t>
  </si>
  <si>
    <t>老</t>
    <phoneticPr fontId="3" type="noConversion"/>
  </si>
  <si>
    <t>权二钊</t>
  </si>
  <si>
    <t>云服务</t>
  </si>
  <si>
    <t>新</t>
    <phoneticPr fontId="3" type="noConversion"/>
  </si>
  <si>
    <t>安徽省阜阳市诚挚电子有限公司</t>
  </si>
  <si>
    <t>区域/行业</t>
    <phoneticPr fontId="3" type="noConversion"/>
  </si>
  <si>
    <t>所属行业</t>
    <phoneticPr fontId="6" type="noConversion"/>
  </si>
  <si>
    <t>产品线</t>
    <phoneticPr fontId="6" type="noConversion"/>
  </si>
  <si>
    <t>合同名称</t>
    <phoneticPr fontId="3" type="noConversion"/>
  </si>
  <si>
    <t>签定日期</t>
  </si>
  <si>
    <t>合同金额</t>
    <phoneticPr fontId="6" type="noConversion"/>
  </si>
  <si>
    <t>签单毛利率</t>
    <phoneticPr fontId="6" type="noConversion"/>
  </si>
  <si>
    <t>签单毛利</t>
    <phoneticPr fontId="6" type="noConversion"/>
  </si>
  <si>
    <t>签单月份</t>
    <phoneticPr fontId="6" type="noConversion"/>
  </si>
  <si>
    <t>客户名称</t>
    <phoneticPr fontId="7" type="noConversion"/>
  </si>
  <si>
    <t>备注</t>
    <phoneticPr fontId="7" type="noConversion"/>
  </si>
  <si>
    <t>业务类型</t>
    <phoneticPr fontId="7" type="noConversion"/>
  </si>
  <si>
    <t>主导人</t>
  </si>
  <si>
    <t>占比</t>
  </si>
  <si>
    <t>签单</t>
  </si>
  <si>
    <t>毛利</t>
  </si>
  <si>
    <t>次要配合人</t>
  </si>
  <si>
    <t>安徽区</t>
  </si>
  <si>
    <t>阜阳市界首权利清单云服务项目合同</t>
  </si>
  <si>
    <t>云业务</t>
  </si>
  <si>
    <t>权二钊</t>
    <phoneticPr fontId="3" type="noConversion"/>
  </si>
  <si>
    <t>无</t>
    <phoneticPr fontId="3" type="noConversion"/>
  </si>
  <si>
    <t>新</t>
  </si>
  <si>
    <t>安徽省阜阳市城市管理综合运行调度中心云服务合同</t>
  </si>
  <si>
    <t>权二钊</t>
    <phoneticPr fontId="3" type="noConversion"/>
  </si>
  <si>
    <t>老</t>
  </si>
  <si>
    <t>电子政务</t>
  </si>
  <si>
    <t>安徽区</t>
    <phoneticPr fontId="6" type="noConversion"/>
  </si>
  <si>
    <t>舒城县政务服务中心权力清单软件新增功能开发项目</t>
  </si>
  <si>
    <t>舒城县人民政府政务服务中心</t>
  </si>
  <si>
    <t>非云业务</t>
  </si>
  <si>
    <t>班彪</t>
    <phoneticPr fontId="3" type="noConversion"/>
  </si>
  <si>
    <t>部门</t>
  </si>
  <si>
    <t>域/行业</t>
  </si>
  <si>
    <t>项目名称</t>
    <phoneticPr fontId="3" type="noConversion"/>
  </si>
  <si>
    <t>回款额</t>
  </si>
  <si>
    <t>回款收入</t>
    <phoneticPr fontId="6" type="noConversion"/>
  </si>
  <si>
    <t>毛利率</t>
    <phoneticPr fontId="6" type="noConversion"/>
  </si>
  <si>
    <t>回款毛利</t>
    <phoneticPr fontId="6" type="noConversion"/>
  </si>
  <si>
    <t>回款日期</t>
  </si>
  <si>
    <t>完全主导人</t>
    <phoneticPr fontId="6" type="noConversion"/>
  </si>
  <si>
    <t>回款月份</t>
    <phoneticPr fontId="7" type="noConversion"/>
  </si>
  <si>
    <t>拨付方式</t>
    <phoneticPr fontId="7" type="noConversion"/>
  </si>
  <si>
    <t>应拨付费用</t>
    <phoneticPr fontId="7" type="noConversion"/>
  </si>
  <si>
    <t>项目属性</t>
    <phoneticPr fontId="3" type="noConversion"/>
  </si>
  <si>
    <t>收入</t>
  </si>
  <si>
    <t>阜阳市政府公共信息服务平台（一期工程）项目合同-电子政务（软件）</t>
  </si>
  <si>
    <t>拨付率</t>
  </si>
  <si>
    <t>高耀南</t>
    <phoneticPr fontId="3" type="noConversion"/>
  </si>
  <si>
    <t>老客户</t>
    <phoneticPr fontId="3" type="noConversion"/>
  </si>
  <si>
    <t>阜阳市政府公共信息服务平台（一期工程）项目合同-云服务</t>
  </si>
  <si>
    <t>樊静</t>
  </si>
  <si>
    <t>亳州市政务云服务采购项目合同</t>
  </si>
  <si>
    <t>钟斌</t>
  </si>
  <si>
    <t>无拨付</t>
  </si>
  <si>
    <t>钟斌</t>
    <phoneticPr fontId="3" type="noConversion"/>
  </si>
  <si>
    <t>阜阳市财政局云计算平台建设项目</t>
  </si>
  <si>
    <t>提货价</t>
  </si>
  <si>
    <t>新客户</t>
    <phoneticPr fontId="3" type="noConversion"/>
  </si>
  <si>
    <t>云服务</t>
    <phoneticPr fontId="6" type="noConversion"/>
  </si>
  <si>
    <t>上半年返点</t>
    <phoneticPr fontId="6" type="noConversion"/>
  </si>
  <si>
    <t>系统服务</t>
  </si>
  <si>
    <t>中国烟草总公司安徽省公司服务器及相关配件采购项目合同</t>
  </si>
  <si>
    <t xml:space="preserve">刘克胜 </t>
  </si>
  <si>
    <t>传统集成业务</t>
  </si>
  <si>
    <t>杨阳</t>
    <phoneticPr fontId="3" type="noConversion"/>
  </si>
  <si>
    <t>合肥市疾病预防控制中心云服务订单</t>
  </si>
  <si>
    <t>杨阳</t>
  </si>
  <si>
    <t>上海区</t>
  </si>
  <si>
    <t>包一2016年呼叫技术实训室委托管理的项目”的补充协议</t>
  </si>
  <si>
    <t>孙燕</t>
  </si>
  <si>
    <t>杨雷</t>
    <phoneticPr fontId="3" type="noConversion"/>
  </si>
  <si>
    <t>包二-杨浦公共实训基地呼叫技术实训室《专用设备维护（修）保养合同》-2017年度续签</t>
  </si>
  <si>
    <t>上海区</t>
    <phoneticPr fontId="6" type="noConversion"/>
  </si>
  <si>
    <t>电子商务中心数据服务项目合同</t>
  </si>
  <si>
    <t>健康监管行业部</t>
  </si>
  <si>
    <t>周兴祚</t>
  </si>
  <si>
    <t>珠宝交易中心机房及综合布线工程</t>
  </si>
  <si>
    <t>乔彦亮</t>
  </si>
  <si>
    <t>北京羊肉胡同珠宝交易中心</t>
  </si>
  <si>
    <t>国家新闻出版广电总局监测数据处理中心广播电视内容监管云平台链路和机房租赁采购项目（二期）云托管合同</t>
  </si>
  <si>
    <t>岳浩瀚</t>
  </si>
  <si>
    <t>国家新闻出版广电总局监测数据处理中心</t>
  </si>
  <si>
    <t>王晶</t>
    <phoneticPr fontId="3" type="noConversion"/>
  </si>
  <si>
    <t>健康监管行业部</t>
    <phoneticPr fontId="6" type="noConversion"/>
  </si>
  <si>
    <t>中央电视台方楼、圆楼基础网络系统改造及综合布线设备（五）复兴路办公区网络设备项目</t>
  </si>
  <si>
    <t>陈洪卫</t>
  </si>
  <si>
    <t>中央电视台</t>
  </si>
  <si>
    <t>健康监管行业部</t>
    <phoneticPr fontId="3" type="noConversion"/>
  </si>
  <si>
    <t>GJHYJ配套部分建设项目</t>
  </si>
  <si>
    <t>习志刚</t>
  </si>
  <si>
    <t>GJHYJ办公室</t>
  </si>
  <si>
    <t>数据服务</t>
  </si>
  <si>
    <t>国家税务总局电子商务税源监控课题研究项目合同</t>
  </si>
  <si>
    <t>谢远斌</t>
  </si>
  <si>
    <t>互联网业务</t>
  </si>
  <si>
    <t>统一社会信用代码接口应用支撑能力升级改造采购项目</t>
  </si>
  <si>
    <t>胡兆军</t>
  </si>
  <si>
    <t>新客户</t>
  </si>
  <si>
    <t>国家食品药品监督管理总局食品经营许可数据库项目云服务能力采购项目</t>
  </si>
  <si>
    <t>孙诗桐</t>
    <phoneticPr fontId="3" type="noConversion"/>
  </si>
  <si>
    <t>国家新闻出版广电总局监管中心移动互联网视听节目客户端软件备案平台项目</t>
  </si>
  <si>
    <t>田银玲</t>
    <phoneticPr fontId="3" type="noConversion"/>
  </si>
  <si>
    <t>王晓超</t>
    <phoneticPr fontId="3" type="noConversion"/>
  </si>
  <si>
    <t>济南市国家税务局互联网涉税数据服务项目合同</t>
  </si>
  <si>
    <t>袁建</t>
  </si>
  <si>
    <t>国土资源部核心网络设备维保服务项目</t>
  </si>
  <si>
    <t>袁英梅</t>
  </si>
  <si>
    <t>无拨付</t>
    <phoneticPr fontId="6" type="noConversion"/>
  </si>
  <si>
    <t>国土资源部信息中心</t>
  </si>
  <si>
    <t>统一社会信用代码微博客系统支撑能力升级改造采购项目</t>
  </si>
  <si>
    <t>统一社会信用代码异地机房信息基础设施及集成服务项目</t>
  </si>
  <si>
    <t>珠宝交易中心机房及综合布线工程（未签订）</t>
  </si>
  <si>
    <t>党政教育行业部</t>
  </si>
  <si>
    <t>汤昊川</t>
  </si>
  <si>
    <t>刘铭昕</t>
  </si>
  <si>
    <t>高等教育出版社有限公司</t>
  </si>
  <si>
    <t>党政教育行业部</t>
    <phoneticPr fontId="3" type="noConversion"/>
  </si>
  <si>
    <t>全国信用信息共享平台项目（二期）（国家信息中心建设部分）数据交换平台前置节点采购合同</t>
  </si>
  <si>
    <t>朱先军</t>
  </si>
  <si>
    <t>国家信息中心</t>
  </si>
  <si>
    <t>传统集成业务</t>
    <phoneticPr fontId="3" type="noConversion"/>
  </si>
  <si>
    <t>高等教育出版社云服务合同框架协议</t>
  </si>
  <si>
    <t>农业部信息中心监管系统服务器设备购置项目</t>
  </si>
  <si>
    <t>吕艳菲</t>
  </si>
  <si>
    <t>农业部信息中心</t>
  </si>
  <si>
    <t>高等教育出版社有限公司网络设备采购及技术服务合同</t>
  </si>
  <si>
    <t>刘晓力</t>
  </si>
  <si>
    <t>国家粮食管理平台—互联网机房租赁</t>
  </si>
  <si>
    <t>代超峰</t>
  </si>
  <si>
    <t>国家粮食局</t>
  </si>
  <si>
    <t>外交部领事司生物识别签证一期项目通用服务器采购续采合同</t>
  </si>
  <si>
    <t>李彬</t>
  </si>
  <si>
    <t>外交部领事司</t>
  </si>
  <si>
    <t>北京润华信通科技有限公司云服务合同01</t>
  </si>
  <si>
    <t>李元军</t>
  </si>
  <si>
    <t>北京润华信通科技有限公司</t>
  </si>
  <si>
    <t>党政教育行业部</t>
    <phoneticPr fontId="6" type="noConversion"/>
  </si>
  <si>
    <t>北京润华信通科技有限公司云服务合同</t>
  </si>
  <si>
    <t>北师大城市绿色可发展及战略研究北京市重点实验室数据技术服务项目</t>
  </si>
  <si>
    <t>北京师范大学</t>
  </si>
  <si>
    <t>北京嘉图智峰科技发展有限公司云服务合同</t>
  </si>
  <si>
    <t>高东</t>
  </si>
  <si>
    <t>北京嘉图智峰科技发展有限公司</t>
  </si>
  <si>
    <t>北京外交人员服务总公司IT设备年度维保服务项目</t>
  </si>
  <si>
    <t>待定</t>
  </si>
  <si>
    <t>否</t>
  </si>
  <si>
    <t>国家教育管理信息系统异地灾备体系建设项目数据复制与验证系统（接入版）-山东</t>
  </si>
  <si>
    <t>张博</t>
  </si>
  <si>
    <t>汤昊川</t>
    <phoneticPr fontId="3" type="noConversion"/>
  </si>
  <si>
    <t>第三次全国农业普查省调查总队PC服务器项目</t>
  </si>
  <si>
    <t>王琨</t>
  </si>
  <si>
    <t>外交部通用软硬件采购合同</t>
  </si>
  <si>
    <t>JYB安全可靠应用试点项目</t>
  </si>
  <si>
    <t>李玉亮</t>
  </si>
  <si>
    <t>国家教育管理信息系统异地灾备体系建设项目异地灾备省级实施 A2包服务合同--IDC一年机房租赁和裸光纤租赁服务费用第二年</t>
  </si>
  <si>
    <t>国家知识产权局专利局智能辅助检索等业务系统建设网络及存储项目（第三包：内网磁带库机械臂升级）合同</t>
  </si>
  <si>
    <t>颜玮琦</t>
  </si>
  <si>
    <t>国家知识产权局</t>
  </si>
  <si>
    <t>高等教育出版社云托管服务合同</t>
  </si>
  <si>
    <t>2017年国家林业局信息系统运行维护服务项目合同</t>
  </si>
  <si>
    <t>廉洁</t>
  </si>
  <si>
    <t>北京东城市区审批平台对接系统改造项目合同</t>
  </si>
  <si>
    <t>北京区</t>
    <phoneticPr fontId="3" type="noConversion"/>
  </si>
  <si>
    <t>胡大鹏</t>
  </si>
  <si>
    <t>胡大鹏</t>
    <phoneticPr fontId="3" type="noConversion"/>
  </si>
  <si>
    <t>北京区</t>
  </si>
  <si>
    <t>北京西城区2017年电子公文传输系统项目建设开发采购合同</t>
  </si>
  <si>
    <t>中共北京市西城区委办公室</t>
  </si>
  <si>
    <t>北京众联通科技有限公司云托管合同</t>
  </si>
  <si>
    <t>吴志达</t>
  </si>
  <si>
    <t>北京众联通科技有限公司</t>
  </si>
  <si>
    <t>北京区</t>
    <phoneticPr fontId="6" type="noConversion"/>
  </si>
  <si>
    <t>北京市平谷区纪检监察业务信息化平台政府采购合同－软件</t>
  </si>
  <si>
    <t>中共北京市平谷区纪律检查委员会</t>
  </si>
  <si>
    <t>北京市平谷区纪检监察业务信息化平台政府采购合同－集成</t>
  </si>
  <si>
    <t>北京景阳雷诺科技有限公司云托管合同</t>
  </si>
  <si>
    <t>北京景阳雷诺科技有限公司</t>
  </si>
  <si>
    <t>北京金楠电子科贸有限公司云托管合同</t>
  </si>
  <si>
    <t>北京金楠电子科贸有限公司</t>
  </si>
  <si>
    <t>辽河石油贸易股份有限公司云托管合同</t>
  </si>
  <si>
    <t>辽河石油贸易股份有限公司</t>
  </si>
  <si>
    <t>吴志达</t>
    <phoneticPr fontId="3" type="noConversion"/>
  </si>
  <si>
    <t>2017年北京市东城区政务服务中心信息化运维服务项目（第二包）</t>
  </si>
  <si>
    <t>北京国能日新系统控制技术有限公司浪潮云托管服务合同</t>
  </si>
  <si>
    <t>吴治达</t>
  </si>
  <si>
    <t>吴治达</t>
    <phoneticPr fontId="3" type="noConversion"/>
  </si>
  <si>
    <t>北京百迈客生物科技有限公司云托管服务合同2017</t>
  </si>
  <si>
    <t>王柏</t>
  </si>
  <si>
    <t>北京百迈客生物科技有限公司</t>
  </si>
  <si>
    <t>北京国能日新系统控制技术有限公司</t>
  </si>
  <si>
    <t>蒋慧敏</t>
    <phoneticPr fontId="3" type="noConversion"/>
  </si>
  <si>
    <t>张驰</t>
  </si>
  <si>
    <t>四川区</t>
  </si>
  <si>
    <t>中共自贡市委群众工作局信访数据统计分析图形及三率考核子系统采购项目</t>
  </si>
  <si>
    <t>中共自贡市委群众工作局</t>
  </si>
  <si>
    <t>张驰</t>
    <phoneticPr fontId="3" type="noConversion"/>
  </si>
  <si>
    <t>宜宾市电子政务云平台服务项目</t>
  </si>
  <si>
    <t>柳志平</t>
  </si>
  <si>
    <t>宜宾市政府信息公开和电子政务办公室</t>
  </si>
  <si>
    <t>柳志平</t>
    <phoneticPr fontId="3" type="noConversion"/>
  </si>
  <si>
    <t>四川区</t>
    <phoneticPr fontId="6" type="noConversion"/>
  </si>
  <si>
    <t>绵投集团专享云服务</t>
  </si>
  <si>
    <t>魏明勇</t>
  </si>
  <si>
    <t>绵阳市投资控股（集团）有限公司</t>
  </si>
  <si>
    <t>魏明勇</t>
    <phoneticPr fontId="3" type="noConversion"/>
  </si>
  <si>
    <t>四川区</t>
    <phoneticPr fontId="3" type="noConversion"/>
  </si>
  <si>
    <t>四川省电子证照库系统产品购销合同</t>
  </si>
  <si>
    <t>陈鹏宇</t>
  </si>
  <si>
    <t>成都四方伟业软件股份有限公司</t>
  </si>
  <si>
    <t>陈鹏宇</t>
    <phoneticPr fontId="3" type="noConversion"/>
  </si>
  <si>
    <t>德阳市人口健康信息平台建设混合云技术服务合同</t>
  </si>
  <si>
    <t>胡林</t>
  </si>
  <si>
    <t>胡林</t>
    <phoneticPr fontId="3" type="noConversion"/>
  </si>
  <si>
    <t>绵阳市道路智能交通管理系统运行云平台服务合同</t>
  </si>
  <si>
    <t>覃云飞</t>
  </si>
  <si>
    <t>彭仕强</t>
    <phoneticPr fontId="3" type="noConversion"/>
  </si>
  <si>
    <t>绵阳市公安局网综平台云服务项目合同</t>
  </si>
  <si>
    <t>周浪</t>
  </si>
  <si>
    <t>周浪</t>
    <phoneticPr fontId="3" type="noConversion"/>
  </si>
  <si>
    <t>绵阳市政务云计算中心云服务项目合同</t>
  </si>
  <si>
    <t>邓鹏飞</t>
  </si>
  <si>
    <t>凉山州政务云服务采购项目</t>
  </si>
  <si>
    <t>常炳涛</t>
  </si>
  <si>
    <t>常炳涛</t>
    <phoneticPr fontId="3" type="noConversion"/>
  </si>
  <si>
    <t>成都市电子政务内网数字图书馆项目软件采购和集成服务合同</t>
  </si>
  <si>
    <t>蒋慧敏</t>
  </si>
  <si>
    <t>成都市青羊区人民政府政务服务中心智慧政务微空间采购项目－软件</t>
  </si>
  <si>
    <t>张斌</t>
    <phoneticPr fontId="3" type="noConversion"/>
  </si>
  <si>
    <t>德阳市政务云计算中心云服务项目合同书</t>
  </si>
  <si>
    <t>段志刚</t>
    <phoneticPr fontId="3" type="noConversion"/>
  </si>
  <si>
    <t>南充市工商干部学校教学平台建设设备及安装项目销售合同</t>
  </si>
  <si>
    <t>袁位</t>
  </si>
  <si>
    <t>袁位</t>
    <phoneticPr fontId="3" type="noConversion"/>
  </si>
  <si>
    <t>四川省地方税务局互联网涉税数据采购项目合同</t>
  </si>
  <si>
    <t>付法坤</t>
  </si>
  <si>
    <t>陈煜</t>
    <phoneticPr fontId="3" type="noConversion"/>
  </si>
  <si>
    <t>集团信息化平台信息服务合同（2017）</t>
  </si>
  <si>
    <t>成都军区总医院门诊楼智能化设计公开招标项目</t>
  </si>
  <si>
    <t>浪潮商用大数据专享云服务合同补充合同（绵阳平台）</t>
  </si>
  <si>
    <t>浪潮商用大数据专享云服务绵阳补充合同（绵阳平台）</t>
  </si>
  <si>
    <t>浪潮集团共享大数据平台专享云服务合同</t>
  </si>
  <si>
    <t>绵阳市信息化工作办公室云服务合同</t>
  </si>
  <si>
    <t>符刚</t>
  </si>
  <si>
    <t>四川浪潮信息科技有限公司</t>
  </si>
  <si>
    <t>成都市青羊区电子政务进楼宇软件系统开发服务</t>
  </si>
  <si>
    <t>夏阳</t>
  </si>
  <si>
    <t>青羊区商务局</t>
  </si>
  <si>
    <t>凉山彝族自治州经济和信息化委员会</t>
  </si>
  <si>
    <t>绵阳市住房和城乡建设局云服务合同</t>
  </si>
  <si>
    <t>住房和城乡建设局</t>
  </si>
  <si>
    <t>绵阳市属初高中学校班班通多媒体系统项目合同--绵阳民族中学</t>
  </si>
  <si>
    <t>沈彬</t>
  </si>
  <si>
    <t>绵阳市属初高中学校班班通多媒体系统项目补充合同-绵阳民族中学</t>
  </si>
  <si>
    <t xml:space="preserve"> 沈彬 </t>
  </si>
  <si>
    <t>绵阳市属初高中学校班班通多媒体系统项目合同--绵阳中学</t>
  </si>
  <si>
    <t>绵阳市属初高中学校班班通多媒体系统项目补充合同-绵阳中学</t>
  </si>
  <si>
    <t>绵阳市属初高中学校班班通多媒体系统项目合同--绵阳第一中学</t>
  </si>
  <si>
    <t>绵阳市属初高中学校班班通多媒体系统项目补充合同-绵阳第一中学</t>
  </si>
  <si>
    <t>绵阳市属初高中学校班班通多媒体系统项目（绵阳一中补充二）</t>
  </si>
  <si>
    <t xml:space="preserve">沈彬 </t>
  </si>
  <si>
    <t>绵阳市属初高中学校班班通多媒体系统项目合同--绵阳南山中学</t>
  </si>
  <si>
    <t>绵阳市属初高中学校班班通多媒体系统项目补充合同-绵阳南山中学</t>
  </si>
  <si>
    <t>绵阳市房地产市场信息平台二期项目合同</t>
  </si>
  <si>
    <t>安徽区</t>
    <phoneticPr fontId="6" type="noConversion"/>
  </si>
  <si>
    <t>钟斌</t>
    <phoneticPr fontId="3" type="noConversion"/>
  </si>
  <si>
    <t>山西区</t>
  </si>
  <si>
    <t>太原市政务云项目合同</t>
  </si>
  <si>
    <t>隋克云</t>
  </si>
  <si>
    <t>太原市办公厅信息公开处</t>
  </si>
  <si>
    <t>隋克云</t>
    <phoneticPr fontId="3" type="noConversion"/>
  </si>
  <si>
    <t>霍海琴</t>
    <phoneticPr fontId="3" type="noConversion"/>
  </si>
  <si>
    <t>山西省智慧政务服务平台基础资源租赁服务项目合同</t>
  </si>
  <si>
    <t>山西省综改区审批局（丙方：中信银行股份有限公司太原分行）</t>
  </si>
  <si>
    <t>赵伟</t>
    <phoneticPr fontId="3" type="noConversion"/>
  </si>
  <si>
    <t>隋克云</t>
    <phoneticPr fontId="3" type="noConversion"/>
  </si>
  <si>
    <t>长治市公共资源交易平台升级改造软件 信用信息共享平台软件 项目云平台软件项目</t>
  </si>
  <si>
    <t>聂振</t>
  </si>
  <si>
    <t>长治市发展和改革委员会</t>
  </si>
  <si>
    <t>聂振</t>
    <phoneticPr fontId="3" type="noConversion"/>
  </si>
  <si>
    <t>基于云计算的政府网站群云服务费项目合同</t>
  </si>
  <si>
    <t>长治市人民政府信息中心</t>
  </si>
  <si>
    <t>李娟娟</t>
    <phoneticPr fontId="3" type="noConversion"/>
  </si>
  <si>
    <t>互联网+长治项目一期项目</t>
  </si>
  <si>
    <t>山西区</t>
    <phoneticPr fontId="3" type="noConversion"/>
  </si>
  <si>
    <t>山西转型综合改革示范区管理委员会智慧政务服务平台技术开发项目合同</t>
  </si>
  <si>
    <t>赵伟</t>
  </si>
  <si>
    <t>山西转型综合改革示范区管理委员会</t>
  </si>
  <si>
    <t>忻州市安全生产履职监督平台项目</t>
  </si>
  <si>
    <t>基于云计算的长治政府网站群云服务项目</t>
  </si>
  <si>
    <t>“互联网+长治”一期项目云服务项目销售合同</t>
  </si>
  <si>
    <t>山西区</t>
    <phoneticPr fontId="6" type="noConversion"/>
  </si>
  <si>
    <t>长治不动产登记专享服务合同</t>
  </si>
  <si>
    <t>广州市天河区猎德街政务自助服务终端租赁合同</t>
  </si>
  <si>
    <t>广东区</t>
  </si>
  <si>
    <t>王光鹏</t>
  </si>
  <si>
    <t>政府大数据</t>
  </si>
  <si>
    <t>惠州市政务服务大数据库建设-公共基础信息资源库（自然人库、法人库）建设项目（重新招标）</t>
  </si>
  <si>
    <t>王丽鹃</t>
  </si>
  <si>
    <t>惠州市经济和信息化局</t>
  </si>
  <si>
    <t>大数据业务</t>
  </si>
  <si>
    <t>龙云飞</t>
  </si>
  <si>
    <t>广州市人民政府政务管理办公室建设工程联合审批系统与“多规合一”信息平台对接采购项目</t>
  </si>
  <si>
    <t>广州市人民政府政务管理办公室</t>
  </si>
  <si>
    <t>增城区一窗综合受理审批系统升级改造项目合同</t>
  </si>
  <si>
    <t>赵乐</t>
  </si>
  <si>
    <t>广东省信息工程有限公司</t>
  </si>
  <si>
    <t>广州空港经济区管理委员会智慧政务平台技术开发合同书</t>
  </si>
  <si>
    <t>孔庆坚</t>
  </si>
  <si>
    <t>广州空港经济区管理委员会</t>
  </si>
  <si>
    <t>福田区自助服务平台建设项目采购合同</t>
  </si>
  <si>
    <t>深圳市福田区政务服务中心</t>
  </si>
  <si>
    <t>席军民</t>
  </si>
  <si>
    <t>深圳市公共服务综合信息系统光明新区实施运行项目合同</t>
  </si>
  <si>
    <t>深圳市光明新区综合办公室</t>
  </si>
  <si>
    <t>惠州市政务服务大数据库建设项目-数据开放平台采购项目</t>
  </si>
  <si>
    <t>佛山市智慧云图平台（数据开放和应用专题）建设项目</t>
  </si>
  <si>
    <t>林虹</t>
  </si>
  <si>
    <t>佛山市经济和信息化局</t>
  </si>
  <si>
    <t>深圳市公共服务综合信息系统罗湖区实施运行项目合同</t>
  </si>
  <si>
    <t>罗湖区人民政府办公室</t>
  </si>
  <si>
    <t>潮州市政务服务中心潮州市统一政务云平台项目</t>
  </si>
  <si>
    <t>孔令玲</t>
  </si>
  <si>
    <t>潮州市政务服务中心</t>
  </si>
  <si>
    <t>2017年广州市白云区“一窗”综合受理审批系统升级改造项目合同</t>
  </si>
  <si>
    <t>广州市白云区政府政务管理办公室</t>
  </si>
  <si>
    <t>深圳市“互联网+政务服务”权责清单事项维护合同</t>
  </si>
  <si>
    <t>深圳市政务服务管理办公室</t>
  </si>
  <si>
    <t>广州市政务信息系统互联互通项目</t>
  </si>
  <si>
    <t>深圳市建设项目环境影响评价市区统一审批平台采购项目合同</t>
  </si>
  <si>
    <t>深圳市人居环境委员会</t>
  </si>
  <si>
    <t>深圳市公共服务综合信息系统大鹏新区部署实施服务项目合同</t>
  </si>
  <si>
    <t>深圳市大鹏新区经济服务局</t>
  </si>
  <si>
    <t>深圳市公共服务综合信息系统南山区实施运行项目合同</t>
  </si>
  <si>
    <t>深圳市南山区科技创新局</t>
  </si>
  <si>
    <t>深圳市公共服务综合信息系统盐田区实施运行项目</t>
  </si>
  <si>
    <t>深圳市盐田区信息中心</t>
  </si>
  <si>
    <t>深圳市公共服务综合信息系统坪山区实施运行项目合同书</t>
  </si>
  <si>
    <t>中共深圳市坪山区委办公室</t>
  </si>
  <si>
    <t>深圳市公共服务综合信息系统与宝安区统一受理平台对接项目合同</t>
  </si>
  <si>
    <t>深圳市宝安区信息中心</t>
  </si>
  <si>
    <t>广州市人民政府政务管理办公室2017年信息化建设项目子项目4一窗综合受理信息系统二期项目</t>
  </si>
  <si>
    <t>韶关移动采购浪潮服务器存储合同</t>
  </si>
  <si>
    <t>金冶</t>
  </si>
  <si>
    <t>中国移动通信集团广东有限公司 韶关分公司</t>
  </si>
  <si>
    <t>广州市殷雷信息技术有限公司云服务器</t>
  </si>
  <si>
    <t>广州市殷雷信息技术有限公司</t>
  </si>
  <si>
    <t>广州市天河区人民政府政务管理办公室天河区政务自助服务平台采购项目－软件</t>
  </si>
  <si>
    <t>广东省网上办事大厅深圳分厅建设工程主体系统项目合同（集成部分）</t>
  </si>
  <si>
    <t>陶炜</t>
  </si>
  <si>
    <t>广东省网上办事大厅深圳分厅建设工程主体系统项目合同(软件部分)</t>
  </si>
  <si>
    <t>深圳大厅一期系统运维项目合同</t>
  </si>
  <si>
    <t>深圳市综合监管信息服务系统和公共信用信息管理系统(一期 )项目接口开发</t>
  </si>
  <si>
    <t>前海蛇口自贸片区网上办事大厅项目开发合同</t>
  </si>
  <si>
    <t>广州市花都区人民政府政务管理办公室网上竞价采购项目</t>
  </si>
  <si>
    <t>河源江东新区智慧政务公共服务平台建设项目</t>
  </si>
  <si>
    <t>广州市白云区政务服务中心智能化服务系统改造项目合同</t>
  </si>
  <si>
    <t>花都区一窗系统项目服务合同</t>
  </si>
  <si>
    <t>栾序伟</t>
  </si>
  <si>
    <t>花都区综合信息系统项目服务合同</t>
  </si>
  <si>
    <t>深圳市公共服务综合信息系统龙岗区部署运行项目合同</t>
  </si>
  <si>
    <t>国家教育管理信息系统异地灾备体系建设项目数据据复制与验证系统（接入版）采购合同-广东</t>
  </si>
  <si>
    <t>鲁超</t>
  </si>
  <si>
    <t>江门市政务大数据管理平台项目</t>
  </si>
  <si>
    <t>薛玄</t>
  </si>
  <si>
    <t>广州市政务服务中心信息化系统运维服务项目合同</t>
  </si>
  <si>
    <t>崔秀涛</t>
  </si>
  <si>
    <t>江门市政务云服务（一期）采购项目政府采购合同</t>
  </si>
  <si>
    <t>江门市经济和信息化局</t>
  </si>
  <si>
    <t>江门市政务云服务（一期）采购项目政府采购补充合同</t>
  </si>
  <si>
    <t>上半年返点</t>
  </si>
  <si>
    <t>佛山市南海区政府采购合同书（政务大数综合分析平台（一期））</t>
  </si>
  <si>
    <t>佛山市南海区数据资源中心</t>
  </si>
  <si>
    <t>广州市信息化服务中心2017-2018公共基础设施运维和服务项目之广州市政府数据统一开放平台运维子项目</t>
  </si>
  <si>
    <t>恒峰信息技术有限公司</t>
  </si>
  <si>
    <t>广州市电子政务中心广州市公共信用信息管理系统数据开放及应用系统采购项目</t>
  </si>
  <si>
    <t>吕薇</t>
  </si>
  <si>
    <t>广州市电子政务中心</t>
  </si>
  <si>
    <t xml:space="preserve">广州市政务服务中心业务系统改造与接入项目 </t>
  </si>
  <si>
    <t>增城区“一网”应用系统服务接入项目合同</t>
  </si>
  <si>
    <t>广州市增城区人民政府政务管理办公室</t>
  </si>
  <si>
    <t>广州市人民政府政务管理办公室广州市政务服务中心2010年电子政务项目并联审批子项目</t>
  </si>
  <si>
    <t>修黎明</t>
  </si>
  <si>
    <t>深圳市商事主体登记及许可审批信用信息公示平台门户网站项目合同</t>
  </si>
  <si>
    <t>广州市人民政府政务管理办公室“五个一”社会治理政府公共服务平台综合信息应用基础支撑系统及整合一网、一窗应用系统子项目合同</t>
  </si>
  <si>
    <t>深圳市盐田区网上办事大厅及审批项目维护合同</t>
  </si>
  <si>
    <t>广州市人民政府政务管理办公室广州市商事主体信息平台建设项目合同</t>
  </si>
  <si>
    <t>佛山市数据开放平台建设项目</t>
  </si>
  <si>
    <t>深圳市行政服务大厅微信公众号开发项目合同</t>
  </si>
  <si>
    <t>广州市从化区人民政府政务管理办公室基层公共服务平台建设服务合同</t>
  </si>
  <si>
    <t>广州市天河区科技和信息化局天河区政务服务中心行政审批管理服务平台开发项目合同</t>
  </si>
  <si>
    <t>广州市行政执法综合业务资源管理平台项目开发合同</t>
  </si>
  <si>
    <t>韦敏</t>
  </si>
  <si>
    <t>百色市环保局设备租赁合同</t>
  </si>
  <si>
    <t>广西区</t>
    <phoneticPr fontId="3" type="noConversion"/>
  </si>
  <si>
    <t>广西区</t>
  </si>
  <si>
    <t>浪潮云服务合同-百色市政府OA</t>
  </si>
  <si>
    <t>百色市人民政府办公室</t>
  </si>
  <si>
    <t>韦敏</t>
    <phoneticPr fontId="3" type="noConversion"/>
  </si>
  <si>
    <t>广西壮族自治区事业单位登记管理信息数据交换共享系统设计开发建设服务合同</t>
  </si>
  <si>
    <t>冯政</t>
  </si>
  <si>
    <t>广西壮族自治区机构编制委员会办公室</t>
  </si>
  <si>
    <t>冯政</t>
    <phoneticPr fontId="3" type="noConversion"/>
  </si>
  <si>
    <t>广西百色政务服务中心智能大厅系统采购合同</t>
  </si>
  <si>
    <t>广西福地金融投资集团有限公司</t>
  </si>
  <si>
    <t>南宁市行政审批局南宁市民中心智能化大厅信息化建设(一期)项目采购 合同</t>
  </si>
  <si>
    <t>南宁市行政审批局</t>
  </si>
  <si>
    <t>广西区</t>
    <phoneticPr fontId="6" type="noConversion"/>
  </si>
  <si>
    <t>南宁市法制办公室网上行政执法暨电子监察系统升级改造合同</t>
  </si>
  <si>
    <t>南宁市法制办公室</t>
  </si>
  <si>
    <t>广西人防地面应急指挥中心信息系统高清改造项目</t>
  </si>
  <si>
    <t>广西壮族自治区人民防空办公室</t>
  </si>
  <si>
    <t>罗舒琦</t>
    <phoneticPr fontId="3" type="noConversion"/>
  </si>
  <si>
    <t>百色市脱贫攻坚大数据云项目政府采购合同</t>
  </si>
  <si>
    <t>GXDW安全可靠一期项目-软件</t>
  </si>
  <si>
    <t>冯春</t>
  </si>
  <si>
    <t>冯政</t>
    <phoneticPr fontId="3" type="noConversion"/>
  </si>
  <si>
    <t>GXDW安全可靠一期项目-硬件</t>
  </si>
  <si>
    <t>百色智慧城市设计方案编制合同</t>
  </si>
  <si>
    <t>梁林</t>
  </si>
  <si>
    <t>玉柴商务中心智能化系统采购及安装项目</t>
  </si>
  <si>
    <t>董晨</t>
  </si>
  <si>
    <t>江苏区</t>
  </si>
  <si>
    <t>常州地税局互联网涉税数据采集分析服务项目</t>
  </si>
  <si>
    <t>侯俊</t>
  </si>
  <si>
    <t>江苏省常州地方税务局</t>
  </si>
  <si>
    <t>江苏区</t>
    <phoneticPr fontId="6" type="noConversion"/>
  </si>
  <si>
    <t>江苏华钢网络科技股份有限公司云服务订单</t>
  </si>
  <si>
    <t>江苏华钢网络科技股份有限公司</t>
  </si>
  <si>
    <t>侯俊</t>
    <phoneticPr fontId="3" type="noConversion"/>
  </si>
  <si>
    <t>江苏省公安厅省级部门间信息共享与服务平台建设政府采购合同</t>
  </si>
  <si>
    <t>包成轩</t>
  </si>
  <si>
    <t>老</t>
    <phoneticPr fontId="3" type="noConversion"/>
  </si>
  <si>
    <t>泰州公安局寄递渠道手段建设（硬件）项目合同书</t>
  </si>
  <si>
    <t>侯俊</t>
    <phoneticPr fontId="3" type="noConversion"/>
  </si>
  <si>
    <t>泰州市公安局</t>
  </si>
  <si>
    <t>江苏区</t>
    <phoneticPr fontId="3" type="noConversion"/>
  </si>
  <si>
    <t>苏州外国语学校—校园网络和设备升级改造工程施工工程合同</t>
  </si>
  <si>
    <t>苏州外国语学校校园网络和设备升级改造工程施工项目及未来教室建设工程补充合同</t>
  </si>
  <si>
    <t>江西区</t>
  </si>
  <si>
    <t>宜春市奉新县网上审批系统升级系统部署和运营维护采购项目</t>
  </si>
  <si>
    <t>况丽华</t>
  </si>
  <si>
    <t>奉新县人民政府行政服务中心管委会</t>
  </si>
  <si>
    <t>宜春市铜鼓县网上审批系统升级系统部署和运营维护采购项目</t>
  </si>
  <si>
    <t>铜鼓县人民政府行政服务中心管委会</t>
  </si>
  <si>
    <t>南昌市青山湖区网上审批系统升级系统部署和运营维护采购项目</t>
  </si>
  <si>
    <t>南昌市青山湖区网络信息中心</t>
  </si>
  <si>
    <t>宜春市上高县网上审批系统升级系统部署和运营维护采购项目</t>
  </si>
  <si>
    <t>鹰潭市智慧新城云中心建设及运维服务项目</t>
  </si>
  <si>
    <t>沈江涛</t>
  </si>
  <si>
    <t>鹰潭市信息化工作办公室</t>
  </si>
  <si>
    <t>上饶市县级网上审批升级改造项目</t>
  </si>
  <si>
    <t>上饶市国有资产经营集团有限公司</t>
  </si>
  <si>
    <t>况丽华</t>
    <rPh sb="0" eb="1">
      <t>ukq</t>
    </rPh>
    <rPh sb="1" eb="2">
      <t>gmy</t>
    </rPh>
    <rPh sb="2" eb="3">
      <t>wxf</t>
    </rPh>
    <phoneticPr fontId="3" type="noConversion"/>
  </si>
  <si>
    <t>江西区</t>
    <phoneticPr fontId="3" type="noConversion"/>
  </si>
  <si>
    <t>江西新余市智能政务大厅系统建设项目</t>
  </si>
  <si>
    <t>新余市行政服务管理委员会</t>
  </si>
  <si>
    <t>江西省共青城市行政集中审批中心网上审批系统升级改造项目</t>
  </si>
  <si>
    <t>谌小明</t>
  </si>
  <si>
    <t>共青城市人民政府办公室</t>
  </si>
  <si>
    <t>赣州市市级移动政务审批系统项目</t>
  </si>
  <si>
    <t>赣州市网上审批系统部署和运维项目-软件</t>
  </si>
  <si>
    <t>南昌市湾里区智能大厅及乡镇延伸软件采购项目</t>
  </si>
  <si>
    <t>南昌市湾里区网上审批系统升级单一来源采购项目</t>
  </si>
  <si>
    <t>江西省投资项目在线审批监管平台升级改造项目</t>
  </si>
  <si>
    <t>兰明才</t>
    <rPh sb="0" eb="1">
      <t>uff</t>
    </rPh>
    <rPh sb="1" eb="2">
      <t>je</t>
    </rPh>
    <rPh sb="2" eb="3">
      <t>ft</t>
    </rPh>
    <phoneticPr fontId="3" type="noConversion"/>
  </si>
  <si>
    <t>吉安市县区网上审批升级改造项目-软件</t>
  </si>
  <si>
    <t>吉安市信息化工作办公室</t>
  </si>
  <si>
    <t>宜春市市本级网上审批系统升级改造项目</t>
  </si>
  <si>
    <t>宜春市政务信息化工作办公室</t>
  </si>
  <si>
    <t>南昌市网上审批升级改造项目</t>
  </si>
  <si>
    <t>河南省外贸学校中职信息化提升工程数字化校园综合建设项目</t>
  </si>
  <si>
    <t>河南区</t>
    <phoneticPr fontId="3" type="noConversion"/>
  </si>
  <si>
    <t>张占峰</t>
  </si>
  <si>
    <t>李相云</t>
  </si>
  <si>
    <t>汝州智慧城市展厅工程建设合同</t>
  </si>
  <si>
    <t>朱晓强</t>
  </si>
  <si>
    <t>河南区</t>
  </si>
  <si>
    <t>汝州市智慧政务一期建设及市民之家智能服务系统项目合同书</t>
  </si>
  <si>
    <t xml:space="preserve"> 朱晓强</t>
  </si>
  <si>
    <t>汝州市行政服务中心</t>
  </si>
  <si>
    <t>朱晓强</t>
    <phoneticPr fontId="3" type="noConversion"/>
  </si>
  <si>
    <t>焦作市道路运输管理局网站、办公平台、驾驶员管理系统向焦作云计算中心政务平台部署项目</t>
  </si>
  <si>
    <t>闫玉娟</t>
  </si>
  <si>
    <t>焦作市道路运输管理局</t>
  </si>
  <si>
    <t>闫玉娟</t>
    <phoneticPr fontId="3" type="noConversion"/>
  </si>
  <si>
    <t>中国移动通信集团河南有限公司驻马店分公司与浪潮软件股份有限公司关于驻马店市监察网软件维保技术服务合同</t>
  </si>
  <si>
    <t>魏传英</t>
  </si>
  <si>
    <t>中国移动通信集团河南有限公司驻马店分公司</t>
  </si>
  <si>
    <t>张占峰</t>
    <phoneticPr fontId="3" type="noConversion"/>
  </si>
  <si>
    <t>汝州市公共信用信息平台云服务项目</t>
  </si>
  <si>
    <t>汝州市发展和改革委员会</t>
  </si>
  <si>
    <t>河南蓝信科技股份有限公司云服务合同201701</t>
  </si>
  <si>
    <t>帖晓华</t>
  </si>
  <si>
    <t>河南保税集团大数据可视化展示项目合同</t>
  </si>
  <si>
    <t>焦作市公安警务专享云服务租赁采购项目合同及补充协议</t>
  </si>
  <si>
    <t>李相云</t>
    <phoneticPr fontId="3" type="noConversion"/>
  </si>
  <si>
    <t>焦作政务云</t>
  </si>
  <si>
    <t>焦作市公安专享云服务项目</t>
  </si>
  <si>
    <t>河南区</t>
    <phoneticPr fontId="6" type="noConversion"/>
  </si>
  <si>
    <t>焦作市人民政府电子政务管理中心</t>
  </si>
  <si>
    <t>河南省进口物资公共保税中心集团有限公司</t>
  </si>
  <si>
    <t>云业务</t>
    <phoneticPr fontId="6" type="noConversion"/>
  </si>
  <si>
    <t>汝州市鸿宝科技有限公司</t>
  </si>
  <si>
    <t>焦作市城乡一体化示范区政府门户网站服务平台向焦作云计算中心政务平台部署项目</t>
  </si>
  <si>
    <t>许昌市行政服务中心综合电子监察系统和中介超市合同书</t>
  </si>
  <si>
    <t>刘建辉</t>
  </si>
  <si>
    <t>浙江区</t>
    <phoneticPr fontId="3" type="noConversion"/>
  </si>
  <si>
    <t>李楠</t>
  </si>
  <si>
    <t>浙江区</t>
  </si>
  <si>
    <t>舟山市普陀山朱家尖行政服务中心智能大厅配套设备采购项目</t>
  </si>
  <si>
    <t>舟山市审批服务与招投标管委会</t>
  </si>
  <si>
    <t>李楠</t>
    <phoneticPr fontId="3" type="noConversion"/>
  </si>
  <si>
    <t>舟山市审批服务与招投标管理委员会拼接屏、查询机采购项目</t>
  </si>
  <si>
    <t>杭州誉易信息技术有限公司云服务合同订单20171201</t>
  </si>
  <si>
    <t>侯典久</t>
  </si>
  <si>
    <t>杭州誉易信息技术有限公司</t>
  </si>
  <si>
    <t>嘉兴市国盛电脑有限公司云服务合同</t>
  </si>
  <si>
    <t>嘉兴市国盛电脑有限公司</t>
  </si>
  <si>
    <t>舟山市审批服务与招投标管委会自贸区综合服务大厅升级改造项目</t>
  </si>
  <si>
    <t>温州市质量技术监督局行政审批系统合同</t>
  </si>
  <si>
    <t>应用软件</t>
  </si>
  <si>
    <t>舟山市行政审批服务与招投标管理委员会行政审批服务系统及相关配套自助终端一体机项目（软件）</t>
  </si>
  <si>
    <t>舟山市审批服务与招投标管委会大厅智能化设备项目</t>
  </si>
  <si>
    <t>浙江区</t>
    <phoneticPr fontId="6" type="noConversion"/>
  </si>
  <si>
    <t>舟山市岱山县行政审批网上服务系统高拍仪采购项目</t>
  </si>
  <si>
    <t>怀化市经济和信息化委员会</t>
  </si>
  <si>
    <t>湖南区</t>
    <phoneticPr fontId="3" type="noConversion"/>
  </si>
  <si>
    <t>涂欢</t>
  </si>
  <si>
    <t>湖南区</t>
  </si>
  <si>
    <t>智慧怀化－中方县智慧城管合同</t>
  </si>
  <si>
    <t>中方县城市管理行政执法大队</t>
  </si>
  <si>
    <t>魏强</t>
    <phoneticPr fontId="3" type="noConversion"/>
  </si>
  <si>
    <t>涂欢</t>
    <phoneticPr fontId="3" type="noConversion"/>
  </si>
  <si>
    <t>怀化市智慧交通（智能交通一期）服务合同</t>
  </si>
  <si>
    <t>华彩伟业云服务合同</t>
  </si>
  <si>
    <t>湖南华彩伟业网络科技有限公司</t>
  </si>
  <si>
    <t>李小蕾</t>
    <phoneticPr fontId="3" type="noConversion"/>
  </si>
  <si>
    <t>怀化市智慧城管信息系统-怀化市城市管理和行政执法局</t>
  </si>
  <si>
    <t>怀化市城市管理和行政执法局</t>
  </si>
  <si>
    <t>衡阳市政务服务中心服务管理平台建设项目合同</t>
    <phoneticPr fontId="3" type="noConversion"/>
  </si>
  <si>
    <t>张伟</t>
  </si>
  <si>
    <t>韩成轩</t>
    <phoneticPr fontId="3" type="noConversion"/>
  </si>
  <si>
    <t>常德市社会治理网格化综合信息平台二期项目</t>
  </si>
  <si>
    <t>刘建祯</t>
  </si>
  <si>
    <t>智慧常德云计算服务商务合同（A）</t>
  </si>
  <si>
    <t>韩成轩</t>
  </si>
  <si>
    <t>衡阳市政务服务管理平台系统维护服务项目合同</t>
  </si>
  <si>
    <t>湖南区</t>
    <phoneticPr fontId="6" type="noConversion"/>
  </si>
  <si>
    <t>史加娜</t>
  </si>
  <si>
    <t>特种行业部</t>
    <phoneticPr fontId="3" type="noConversion"/>
  </si>
  <si>
    <t>“青岛数据工程”合作技术攻关试验采购合同</t>
  </si>
  <si>
    <t>-</t>
    <phoneticPr fontId="3" type="noConversion"/>
  </si>
  <si>
    <t>青岛凤蝶电子工程有限公司</t>
  </si>
  <si>
    <t>张丽丽</t>
    <phoneticPr fontId="3" type="noConversion"/>
  </si>
  <si>
    <t>孔令森</t>
    <phoneticPr fontId="3" type="noConversion"/>
  </si>
  <si>
    <t>特种行业部</t>
  </si>
  <si>
    <t>张丽丽</t>
  </si>
  <si>
    <t>甘肃区</t>
  </si>
  <si>
    <t>陇南市信息化工作办公室电商旅游经济综合信息采集服务采购项目政府采购合同</t>
  </si>
  <si>
    <t>吴德华</t>
  </si>
  <si>
    <t>陇南市信息化工作办公室</t>
  </si>
  <si>
    <t>吴德华</t>
    <phoneticPr fontId="3" type="noConversion"/>
  </si>
  <si>
    <t>天水市电子政务云平台服务项目合同</t>
  </si>
  <si>
    <t>天水市住房和城乡建设局</t>
  </si>
  <si>
    <t>国家教育管理信息系统异地灾备体系建设项目数据复制与验证系统（接入版）-甘肃</t>
  </si>
  <si>
    <t>黄岩</t>
  </si>
  <si>
    <t>2016年兰州市城关区政务服务中心行政审批和电子监察系统应用软件开发合同</t>
  </si>
  <si>
    <t>中国移动通信集团甘肃有限公司兰州分公司</t>
  </si>
  <si>
    <t>中国移动甘肃省2016年兰州分公司皋兰县电子政务外网系统工程项目软件开发合同</t>
  </si>
  <si>
    <t>中国移动通信集团甘肃省有限公司兰州分公司</t>
  </si>
  <si>
    <t>福建区</t>
    <phoneticPr fontId="3" type="noConversion"/>
  </si>
  <si>
    <t>林琼</t>
  </si>
  <si>
    <t>中共福州市纪委办公厅</t>
  </si>
  <si>
    <t>吴晓明</t>
  </si>
  <si>
    <t>福建区</t>
  </si>
  <si>
    <t>福州市纪委清风基地监控扩容项目</t>
  </si>
  <si>
    <t>陈丽敏</t>
  </si>
  <si>
    <t>漳州市华安县远程政务服务自助终端采购合同</t>
  </si>
  <si>
    <t>华安县行政服务中心管理委员会</t>
  </si>
  <si>
    <t>长乐市滨海分中心智能化项目建设采购项目合同 </t>
  </si>
  <si>
    <t xml:space="preserve">长乐市行政服务中心管理委员会  </t>
  </si>
  <si>
    <t>福州市网上审批系统证照与批文电子化改造项目</t>
  </si>
  <si>
    <t>福州福大经纬信息科技有限公司</t>
  </si>
  <si>
    <t>福州晋安区联合收发件平台采购项目</t>
  </si>
  <si>
    <t>晋安区行政服务中心管理委员会</t>
  </si>
  <si>
    <t>漳州市诏安县自助服务终端设备采购合同</t>
  </si>
  <si>
    <t>诏安县行政服务中心管理委员会</t>
  </si>
  <si>
    <t>漳州市龙海市自助服务终端设备采购合同</t>
  </si>
  <si>
    <t>龙海市行政服务中心管理委员会</t>
  </si>
  <si>
    <t>福州市闽清县审批系统证照与批文电子化改造项目</t>
  </si>
  <si>
    <t>闽清县行政服务中心管理委员会</t>
  </si>
  <si>
    <t>东湖VR小镇—浪潮天元数据创客管理平台购买合同</t>
  </si>
  <si>
    <t>福建新东湖科技园开发有限公司</t>
  </si>
  <si>
    <t>漳州市长泰县24小时自助服务一体机采购合同</t>
    <phoneticPr fontId="3" type="noConversion"/>
  </si>
  <si>
    <t>长泰县行政服务中心管理委员会</t>
  </si>
  <si>
    <t>2017年福州市晋安区市民服务中心智能化综合信息系统项目应用系统建设合同</t>
  </si>
  <si>
    <t>新东网科技有限公司</t>
  </si>
  <si>
    <t>福建区</t>
    <phoneticPr fontId="6" type="noConversion"/>
  </si>
  <si>
    <t>福州市台江区行政服务中心网上审批维护合同(2017)</t>
  </si>
  <si>
    <t>台江区行政服务中心管理委员会</t>
  </si>
  <si>
    <t>福州市仓山区审批系统证照与批文电子化改造项目</t>
  </si>
  <si>
    <t>仓山区行政服务中心管理委员会</t>
  </si>
  <si>
    <t>福建龙岩数字办审批系统与省投资项目在线监管平台对接项目</t>
  </si>
  <si>
    <t>龙岩市数字龙岩建设办公室</t>
  </si>
  <si>
    <t>福州市仓山区市场监督管理局大厅终端服务系统采购项目</t>
  </si>
  <si>
    <t>福州市仓山区市场监督管理局</t>
  </si>
  <si>
    <t xml:space="preserve">福清市电子证照及批文对接整合项目 </t>
  </si>
  <si>
    <t>福清市行政服务中心管理委员会</t>
  </si>
  <si>
    <t>福州市行政服务中心对接福建省投资项目在线审批监管平台项目</t>
  </si>
  <si>
    <t>老客户</t>
  </si>
  <si>
    <t>厦门国际银行交换机采购项目合同</t>
  </si>
  <si>
    <t>中国移动福建公司龙岩分公司永定全流程网上办事平台项目</t>
  </si>
  <si>
    <t>中国移动福建公司龙岩分公司上杭全流程网上办事平台项目</t>
  </si>
  <si>
    <t>中国移动福建公司龙岩分公司漳平全流程网上办事平台项目</t>
  </si>
  <si>
    <t>福建省投资项目在线审批监管平台项目合同（软件部分）</t>
  </si>
  <si>
    <t>福建省投资项目在线审批监管平台项目合同（集成部分）</t>
  </si>
  <si>
    <t>福清市投资项目并联审批系统采购项目</t>
  </si>
  <si>
    <t>厦门市政务智慧审批综合平台（二期）（微信公众号）项目</t>
  </si>
  <si>
    <t>漳州市行政处罚行政征收及电子监察系统软件开发协议</t>
  </si>
  <si>
    <t>陈丽敏</t>
    <phoneticPr fontId="3" type="noConversion"/>
  </si>
  <si>
    <t>中国（福建）自由贸易试验区福州片区行政审批综合服务信息平台升级、改造项目  </t>
  </si>
  <si>
    <t>中国（福建）自由贸易试验区福州片区行政审批综合服务信息平台建设项目</t>
  </si>
  <si>
    <t>系统服务</t>
    <phoneticPr fontId="6" type="noConversion"/>
  </si>
  <si>
    <t>福建省地方税务局服务器等网络设备项目合同</t>
  </si>
  <si>
    <t>吴晓明</t>
    <phoneticPr fontId="3" type="noConversion"/>
  </si>
  <si>
    <t>福州市晋安区行政处罚及执法监察系统采购合同书</t>
  </si>
  <si>
    <t>漳州市网上行政执法系统项目</t>
  </si>
  <si>
    <t>漳州市数字漳州建设办公室</t>
  </si>
  <si>
    <t>福州市台江区行政处罚及执法监察系统采购</t>
  </si>
  <si>
    <t>电子政务</t>
    <phoneticPr fontId="6" type="noConversion"/>
  </si>
  <si>
    <t>福州市台江区网上审批及效能监督系统软件项目合同</t>
  </si>
  <si>
    <t>福州市闽清县行政服务中心智能化服务系统合同书</t>
  </si>
  <si>
    <t>闽清县行政服务中心</t>
  </si>
  <si>
    <t>仓山区行政服务中心审批及智能化软件与“智慧城市APP”接口定制开发项目</t>
  </si>
  <si>
    <t>2010年莆田电信分公司市政府网上审批项目系统软件开发协议（政务公司）</t>
  </si>
  <si>
    <t>莆田市“多规合一”试点项目审批业务协同系统项目</t>
  </si>
  <si>
    <t>长乐市政务服务信息化建设项目</t>
  </si>
  <si>
    <t>漳州市全市统一行政审批软件系统购置与维护合同</t>
  </si>
  <si>
    <t>漳州市公共服务应用平台购置与维护合同</t>
  </si>
  <si>
    <t>福州市社区政务服务综合管理平台项目</t>
  </si>
  <si>
    <t>漳州市电子证照系统开发部署项目</t>
  </si>
  <si>
    <t>能源交通行业部</t>
  </si>
  <si>
    <t>网约车监管信息交互平台工程专线租用服务合同</t>
  </si>
  <si>
    <t>张北</t>
  </si>
  <si>
    <t>张北</t>
    <phoneticPr fontId="3" type="noConversion"/>
  </si>
  <si>
    <t>北京富源信达科技发展有限公司云服务合同</t>
  </si>
  <si>
    <t>北京速通科技有限公司</t>
  </si>
  <si>
    <t>能源交通行业部</t>
    <phoneticPr fontId="3" type="noConversion"/>
  </si>
  <si>
    <t>贵州区</t>
  </si>
  <si>
    <t>六盘水市“一号”申请服务系统维护服务</t>
  </si>
  <si>
    <t>江跃</t>
  </si>
  <si>
    <t>六盘水市人民政府政务服务管理局</t>
  </si>
  <si>
    <t>云上贵州数据共享交换平台共享资源池建设项目-硬件部分</t>
  </si>
  <si>
    <t>云上贵州大数据产业发展有限公司</t>
  </si>
  <si>
    <t>刘登明</t>
  </si>
  <si>
    <t>遵义市人民政府政务服务中心“1”号服务系统软件使用及服务</t>
  </si>
  <si>
    <t>遵义市人民政府政务服务中心</t>
  </si>
  <si>
    <t>云上贵州系统平台基础设施运营及基础环境集成实施服务项目合同</t>
  </si>
  <si>
    <t>贵州省“发改云一期工程（项目云）”项目采购合同</t>
  </si>
  <si>
    <t>国家教育管理信息系统异地灾备体系建设项目数据复制与验证系统（接入版）-贵州</t>
  </si>
  <si>
    <t>史茂勋</t>
  </si>
  <si>
    <t>福泉市人民政府政务服务中心采购合同</t>
  </si>
  <si>
    <t>福泉市人民政府政务服务中心</t>
  </si>
  <si>
    <t>贵州安顺西秀区政务中心一号系统技术开发合同</t>
  </si>
  <si>
    <t>满辉</t>
  </si>
  <si>
    <t>安顺浪潮大数据技术有限公司</t>
  </si>
  <si>
    <t>云上贵州分成</t>
  </si>
  <si>
    <t>凯里市法治云平台项目建设合同</t>
  </si>
  <si>
    <t>重庆区</t>
  </si>
  <si>
    <t>唐贵梅</t>
  </si>
  <si>
    <t>重庆市轨道交通建设办公室轨道交通信息管理平台虚拟化资源服务合同20171123-5</t>
  </si>
  <si>
    <t>巩志刚</t>
  </si>
  <si>
    <t>重庆市南川区党政信息网络中心虚拟化资源服务合同-1</t>
  </si>
  <si>
    <t>岳圣哲</t>
  </si>
  <si>
    <t>李玉丰</t>
  </si>
  <si>
    <t>重庆市轨道交通建设办公室轨道交通信息管理平台专享云服务合同局(浪潮自有存储及线路)20171105-5</t>
  </si>
  <si>
    <t>重庆市轨道交通建设办公室轨道交通信息管理平台专享云服务合同局（三方设备）20171205-5</t>
  </si>
  <si>
    <t>云托管服务合同——璧山经信委20171211-1</t>
  </si>
  <si>
    <t>杨鹰</t>
  </si>
  <si>
    <t>虚拟化资源服务合同——璧山经信委20171211-1</t>
  </si>
  <si>
    <t>敖鑫</t>
  </si>
  <si>
    <t>彭海涛</t>
  </si>
  <si>
    <t>重庆市巴南区市政管理指挥中心托管合同20171220-1</t>
  </si>
  <si>
    <t>张英杰</t>
  </si>
  <si>
    <t>石柱土家族自治县经济和信息化委员会</t>
  </si>
  <si>
    <t>重庆区</t>
    <phoneticPr fontId="3" type="noConversion"/>
  </si>
  <si>
    <t>重庆联合产权交易所集团股份有限公司</t>
  </si>
  <si>
    <t>重庆市工商行政管理局</t>
  </si>
  <si>
    <t>杨鹰</t>
    <phoneticPr fontId="3" type="noConversion"/>
  </si>
  <si>
    <t>重庆市渝北区财政局</t>
  </si>
  <si>
    <t>王梦南</t>
  </si>
  <si>
    <t>彭海涛</t>
    <phoneticPr fontId="3" type="noConversion"/>
  </si>
  <si>
    <t>重庆市金融工作办公室虚拟化云服务合同201702</t>
  </si>
  <si>
    <t>重庆市金融工作办公室</t>
  </si>
  <si>
    <t>云托管服务合同——重庆市大足区规划局20170725</t>
  </si>
  <si>
    <t>重庆市大足区规划局</t>
  </si>
  <si>
    <t>重庆市沙坪坝区人民政府办公室虚拟化资源服务合同</t>
  </si>
  <si>
    <t>重庆市沙坪坝区人民政府办公室</t>
  </si>
  <si>
    <t>重庆市渝北区财政局虚拟化服务合同20171026-3</t>
  </si>
  <si>
    <t>重庆市人口信息中心非虚拟化资源服务合同(第三方设备)20171025-5</t>
  </si>
  <si>
    <t>王梦南</t>
    <phoneticPr fontId="3" type="noConversion"/>
  </si>
  <si>
    <t>重庆市人口信息中心</t>
  </si>
  <si>
    <t>重庆市卫计委专享云合同</t>
  </si>
  <si>
    <t>重庆市卫生和计划生育委员会</t>
  </si>
  <si>
    <t>重庆市国土房管业务系统专享云服务合同—20171116-5</t>
  </si>
  <si>
    <t>重庆市国土资源和房地产信息中心</t>
  </si>
  <si>
    <t>重庆市农业信息中心托管服务合同</t>
  </si>
  <si>
    <t>重庆市农业信息中心</t>
  </si>
  <si>
    <t>重庆市民防办虚拟化资源服务合同</t>
  </si>
  <si>
    <t>巩志刚</t>
    <phoneticPr fontId="3" type="noConversion"/>
  </si>
  <si>
    <t>重庆市民防办</t>
  </si>
  <si>
    <t>重庆市民防办虚拟化资源服务合同补充协议</t>
  </si>
  <si>
    <t>重庆大足区网审平台行政审批事项标准化改造</t>
  </si>
  <si>
    <t>重庆市大足区人民政府电子政务办公室</t>
  </si>
  <si>
    <t>重市住房公积金数据中心基础架构平台建设项目20171129-5</t>
  </si>
  <si>
    <t>重庆市住房公积金管理中心</t>
  </si>
  <si>
    <t>重庆两江新区政务中心智慧大厅系统建设项目</t>
  </si>
  <si>
    <t>重庆两江新区政务中心</t>
  </si>
  <si>
    <t>重庆市电子政务外网一期建设项目电子证照系统政府采购合同</t>
  </si>
  <si>
    <t>重庆市人民政府电子政务办公室</t>
  </si>
  <si>
    <t>重庆市巴南区人民政府虚拟资源合同</t>
  </si>
  <si>
    <t>重庆市巴南区人民政府</t>
  </si>
  <si>
    <t>重庆市巴南区人民政府虚拟资源合同补充协议20171101</t>
  </si>
  <si>
    <t>重庆市法人信息数据库虚拟化资源服务合同20171130-1</t>
  </si>
  <si>
    <t>重庆两江新区财政局虚拟化资源合同20171123-1</t>
  </si>
  <si>
    <t>重庆两江新区财政局</t>
  </si>
  <si>
    <t>重庆市经济和信息化委员会OA系统虚拟化资源服务合同20171208-1</t>
  </si>
  <si>
    <t>重庆市经济和信息化委员会</t>
  </si>
  <si>
    <t>重庆市经济和信息化委员会热备项目虚拟化资源服务合同20171208-1</t>
  </si>
  <si>
    <t>重庆市经济和信息化委员会虚拟化资源服务VPN账号合同20171212-1</t>
  </si>
  <si>
    <t>重庆市经济和信息化委员会门户网站虚拟化资源服务合同20171212-3</t>
  </si>
  <si>
    <t>重庆市金融工作办公室托管合同20171124-1</t>
  </si>
  <si>
    <t>重庆市金融工作办公室虚拟化合同20171124-1</t>
  </si>
  <si>
    <t>重庆市科学技术协会虚拟化合同20171128-1</t>
  </si>
  <si>
    <t>重庆市科学技术协会</t>
  </si>
  <si>
    <t>重庆联合产权交易所集团股份有限公司非虚拟化资源服务合同20171219-2</t>
  </si>
  <si>
    <t>重庆市不动产统一登记及房地产市场管理电子政务云平台资源服务项目</t>
  </si>
  <si>
    <t>重庆市不动产登记中心</t>
  </si>
  <si>
    <t>重庆市巴南区教委云服务虚拟资源合同</t>
  </si>
  <si>
    <t>重庆市巴南区现代教育技术中心</t>
  </si>
  <si>
    <t>重庆市万州区信息中心托管云服务合同</t>
  </si>
  <si>
    <t>重庆市万州区信息中心</t>
  </si>
  <si>
    <t>重庆市市政管理监察总队云服务合同</t>
  </si>
  <si>
    <t>重庆市市政管理监察总队</t>
  </si>
  <si>
    <t>重庆市气象服务中心虚拟化资源服务合同20171113-1</t>
  </si>
  <si>
    <t>重庆市气象服务中心</t>
  </si>
  <si>
    <t>重庆市运动技术学院托管服务合同1130-1</t>
  </si>
  <si>
    <t>重庆市运动技术学院</t>
  </si>
  <si>
    <t>重庆市食品药品监督管理局沙坪坝区分局托管服务合同20171212-1</t>
  </si>
  <si>
    <t>张英杰</t>
    <phoneticPr fontId="3" type="noConversion"/>
  </si>
  <si>
    <t>重庆市食品药品监督管理局沙坪坝区分局</t>
  </si>
  <si>
    <t>重庆市渝北区市政园林管理局虚拟化资源服务合同</t>
  </si>
  <si>
    <t>重庆市渝北区市政园林管理局</t>
  </si>
  <si>
    <t>重庆残疾人联合会信息中心托管服务合同20171128-1</t>
  </si>
  <si>
    <t>重庆残疾人联合会信息中心</t>
  </si>
  <si>
    <t>重庆市残疾人联合会信息中心就业审核管理系统虚拟化资源服务合同2017.11.27-1</t>
  </si>
  <si>
    <t>重庆市残疾人联合会信息中心</t>
  </si>
  <si>
    <t>重庆市巴南区广播电视台虚拟化资源合同</t>
  </si>
  <si>
    <t>重庆市巴南区广播电视台</t>
  </si>
  <si>
    <t>重庆市永川区信息化建设管理办公室虚拟化资源合同20171106-1</t>
  </si>
  <si>
    <t>重庆市永川区信息化建设管理办公室</t>
  </si>
  <si>
    <t>中共重庆忠县县委组织部虚拟化资源服务合同——20171102-1</t>
  </si>
  <si>
    <t>中共忠县县委组织部</t>
  </si>
  <si>
    <t>重庆市固定资产投资项目网上服务监管平台专享云租用合同20171214-5</t>
  </si>
  <si>
    <t>重庆市综合经济研究院</t>
  </si>
  <si>
    <t>重庆市信用信息应用平台一期工程专享云租用合同20171214-5</t>
  </si>
  <si>
    <t>石柱土家族自治县经济和信息化委员会托管合同20171113-1</t>
  </si>
  <si>
    <t>石柱土家族自治县经济和信息化委员会虚拟化合同20171113-1</t>
  </si>
  <si>
    <t>重庆区</t>
    <phoneticPr fontId="6" type="noConversion"/>
  </si>
  <si>
    <t>重庆市道路运输管理局网审平台功能开发及事项定制项目合同书</t>
  </si>
  <si>
    <t>重庆市道路运输管理局</t>
  </si>
  <si>
    <t>重庆市巴南区广播电视台云服务合同</t>
  </si>
  <si>
    <t>重庆市经济和信息化委员会经济运行局虚拟化资源服务合同</t>
  </si>
  <si>
    <t>重庆市经济和信息化委员会经济运行局</t>
  </si>
  <si>
    <t>重庆市发展和改革委员会虚拟化服务合同</t>
  </si>
  <si>
    <t>重庆市发展和改革委员会</t>
  </si>
  <si>
    <t>重庆市文化信息中心虚拟化合同</t>
  </si>
  <si>
    <t>敖鑫</t>
    <phoneticPr fontId="3" type="noConversion"/>
  </si>
  <si>
    <t>重庆市文化信息中心</t>
  </si>
  <si>
    <t>重庆市文化信息中心托管服务合同</t>
  </si>
  <si>
    <t>重庆市江津区新闻社云服务合同</t>
  </si>
  <si>
    <t>重庆市江津区新闻社</t>
  </si>
  <si>
    <t>重庆市质量安全考试中心虚拟化资源服务合同</t>
  </si>
  <si>
    <t>重庆市质量安全考试中心</t>
  </si>
  <si>
    <t>重庆市计量质量检测研究院虚拟化资源服务合同</t>
  </si>
  <si>
    <t>重庆市计量质量检测研究院</t>
  </si>
  <si>
    <t>重庆市质量技术监督信息中心托管服务合同</t>
  </si>
  <si>
    <t>重庆市质量技术监督信息中心</t>
  </si>
  <si>
    <t>重庆市江津区德感工业园管理委员会虚拟化资源合同</t>
  </si>
  <si>
    <t>重庆市江津区德感工业园管理委员会</t>
  </si>
  <si>
    <t>重庆市质量技术监督信息中心虚拟化资源服务合同</t>
  </si>
  <si>
    <t>重庆市网上行政审批平台改造（交委机关）</t>
  </si>
  <si>
    <t>重庆市交通运行监测与应急调度中心</t>
  </si>
  <si>
    <t>重庆黔江区行政审批电子监察系统软件采购合同终止协议</t>
  </si>
  <si>
    <t>唐贵梅</t>
    <phoneticPr fontId="3" type="noConversion"/>
  </si>
  <si>
    <t>重庆市黔江区人民政府电子政务办公室</t>
  </si>
  <si>
    <t>重庆市交委托管合同</t>
  </si>
  <si>
    <t>重庆市南岸区行政服务中心标准化建设项目</t>
  </si>
  <si>
    <t>南岸区行政服务中心管理办公室</t>
  </si>
  <si>
    <t>重庆市国资委托管服务合同20170824</t>
  </si>
  <si>
    <t>重庆市国有资产监督管理委员会</t>
  </si>
  <si>
    <t>重庆两江新区管委会托管云服务合同</t>
  </si>
  <si>
    <t>重庆两江新区管理委员会</t>
  </si>
  <si>
    <t>重庆市沙坪坝区商务局虚拟化合同</t>
  </si>
  <si>
    <t>重庆市沙坪坝区商务局</t>
  </si>
  <si>
    <t>重庆金保二期浪潮云服务合同</t>
  </si>
  <si>
    <t>重庆市江津区人民法院虚拟化资源合同  </t>
  </si>
  <si>
    <t>重庆资源与环境交易所排污权交易系统服务器租用项目合同</t>
  </si>
  <si>
    <t>重庆市涪陵区港航局网上行政审批事项定制服务合同</t>
  </si>
  <si>
    <t>重庆市九龙坡区人民政府石坪桥街道办事处云服务合同</t>
  </si>
  <si>
    <t>梁平县政府办公室云服务器合同</t>
  </si>
  <si>
    <t>岳圣哲</t>
    <phoneticPr fontId="3" type="noConversion"/>
  </si>
  <si>
    <t>重庆市国土房屋管理局托管服务合同</t>
  </si>
  <si>
    <t>李玉丰</t>
    <phoneticPr fontId="3" type="noConversion"/>
  </si>
  <si>
    <t>重庆市人力资源产业园专享云服务合同</t>
  </si>
  <si>
    <t>专享云</t>
  </si>
  <si>
    <t>重庆安监局托管服务合同</t>
  </si>
  <si>
    <t>中国共产党重庆市委员会党校虚拟化资源服务合同</t>
  </si>
  <si>
    <t>重庆市江津区吴滩小学校虚拟化资源合同</t>
  </si>
  <si>
    <t>重庆市江津区行政审批移动APP建设项目</t>
  </si>
  <si>
    <t>重庆市江北区园林局云服务合同</t>
  </si>
  <si>
    <t>重庆市江北区环境保护局云服务合同</t>
  </si>
  <si>
    <t>重庆市行政权力清单定制服务合同书</t>
  </si>
  <si>
    <t>重庆市渝北区行政服务中心综合管理系统开发项目</t>
  </si>
  <si>
    <t>重庆市社会科学界联合会虚拟化资源合同</t>
  </si>
  <si>
    <t>石柱土家族自治县人力资源和社会保障局虚拟化资源合同</t>
  </si>
  <si>
    <t>重庆市人民政府法制办公室虚拟资源服务合同</t>
  </si>
  <si>
    <t>重庆市政信息中心政务云平台托管服务合同</t>
  </si>
  <si>
    <t>重庆市大渡口区经济和信息化委员会云服务合同</t>
  </si>
  <si>
    <t>重庆市九龙坡区人民政府办公室托管服务合同</t>
  </si>
  <si>
    <t>重庆市石柱土家族自治县安全生产监督管理局虚拟化合同</t>
  </si>
  <si>
    <t>重庆市市政信息中心云服务</t>
  </si>
  <si>
    <t>重庆市中华职业教育社云服务合同</t>
  </si>
  <si>
    <t>彭水苗族土家族自治县经济和信息化委员会虚拟化合同2017121-5</t>
  </si>
  <si>
    <t>重庆市福利彩票热线交易灾备系统建设及服务（非虚拟化资源服务）合同补充协议</t>
  </si>
  <si>
    <t>重庆市政府采购购销合同（垫江县）</t>
  </si>
  <si>
    <t>重庆市巴南区民政局虚拟化云服务合同</t>
  </si>
  <si>
    <t>重庆市江津区财政局专享云服务合同</t>
  </si>
  <si>
    <t>重庆市江津区文化委员会虚拟化资源服务合同</t>
  </si>
  <si>
    <t>奉节县经信委云托管合同</t>
  </si>
  <si>
    <t>虚拟化资源服务合同—重庆市合川人民政府办公室20171107-01</t>
  </si>
  <si>
    <t>重庆市地方税务局托管服务合同</t>
  </si>
  <si>
    <t>重庆市地方税务局虚拟化服务合同</t>
  </si>
  <si>
    <t>重庆市万州区云服务托管服务合同补签协议20171110-1</t>
  </si>
  <si>
    <t>重庆市铜梁区国土资源和房屋管理局技术服务合同</t>
  </si>
  <si>
    <t>重庆市江北区市政园林管理局</t>
  </si>
  <si>
    <t>重庆市江北区市政园林管理局非虚拟化资源服务合同</t>
  </si>
  <si>
    <t>江北区市政园林管理局</t>
  </si>
  <si>
    <t>重庆市巴南区财政局云服务合同</t>
  </si>
  <si>
    <t>重庆市巴南区财政局</t>
  </si>
  <si>
    <t>重庆市公路局网上行政审批平台融合改造项目</t>
  </si>
  <si>
    <t>重庆市公路局</t>
  </si>
  <si>
    <t>重庆市人口信息中心专享云合同</t>
  </si>
  <si>
    <t>重庆市科学技术委员会托管服务合同</t>
  </si>
  <si>
    <t>重庆市科学技术委员会</t>
  </si>
  <si>
    <t>质监局非虚拟化资源服务合同</t>
  </si>
  <si>
    <t>重庆市巴南区若轩科技虚拟化服务合同</t>
  </si>
  <si>
    <t>重庆若轩科技有限公司</t>
  </si>
  <si>
    <t>四川外国语大学技术服务合同</t>
  </si>
  <si>
    <t>巫溪县经济和信息化委员会云服务合同</t>
  </si>
  <si>
    <t>汉鼎宇佑互联网股份有限公司—托管服务合同</t>
  </si>
  <si>
    <t>重庆市荣昌区经信委云服务合同</t>
  </si>
  <si>
    <t>荣昌区经信委云托管合同</t>
  </si>
  <si>
    <t>重庆生产力促进中心专享合同</t>
  </si>
  <si>
    <t>国家教育管理信息系统异地灾备体系建设项目</t>
  </si>
  <si>
    <t>陕西区</t>
    <phoneticPr fontId="3" type="noConversion"/>
  </si>
  <si>
    <t>张菲菲</t>
    <phoneticPr fontId="3" type="noConversion"/>
  </si>
  <si>
    <t>陕西区</t>
  </si>
  <si>
    <t>西安市人民政府政务服务中心西安政务服务网建设供货合同</t>
  </si>
  <si>
    <t>张慧娟</t>
  </si>
  <si>
    <t>西安市人民政府政务服务中心</t>
  </si>
  <si>
    <t>张慧娟</t>
    <phoneticPr fontId="3" type="noConversion"/>
  </si>
  <si>
    <t>陕西区</t>
    <phoneticPr fontId="6" type="noConversion"/>
  </si>
  <si>
    <t>陕西省网上政务服务平台建设项目技术开发合同</t>
  </si>
  <si>
    <t>陕西省信息中心</t>
  </si>
  <si>
    <t>延安市公安局业务技术用房配套设施及后期项目</t>
  </si>
  <si>
    <t>姚尧</t>
  </si>
  <si>
    <t>姚尧</t>
    <phoneticPr fontId="3" type="noConversion"/>
  </si>
  <si>
    <t>丁琦</t>
    <phoneticPr fontId="3" type="noConversion"/>
  </si>
  <si>
    <t>陕西省西咸新区行政审批系统一期采购项目</t>
  </si>
  <si>
    <t>张菲菲</t>
  </si>
  <si>
    <t>沣西新城大数据创业孵化平台项目</t>
  </si>
  <si>
    <t>毛宪阳</t>
  </si>
  <si>
    <t>毛宪阳</t>
    <phoneticPr fontId="3" type="noConversion"/>
  </si>
  <si>
    <t>延安市公安局</t>
  </si>
  <si>
    <t>西安市中医医院数据中心基础建设供货合同</t>
  </si>
  <si>
    <t>张谦</t>
  </si>
  <si>
    <t>黑龙江区</t>
    <phoneticPr fontId="3" type="noConversion"/>
  </si>
  <si>
    <t>黑龙江大庆市一号、一窗、一网软件采购合同</t>
  </si>
  <si>
    <t>黄振东</t>
  </si>
  <si>
    <t>黑龙江国裕天晟科技有限公司</t>
  </si>
  <si>
    <t>黄振东</t>
    <phoneticPr fontId="3" type="noConversion"/>
  </si>
  <si>
    <t>哈尔滨信息中心_哈尔滨市数据开放平台项目服务采购</t>
  </si>
  <si>
    <t>哈尔滨信息中心</t>
  </si>
  <si>
    <t>李雨</t>
    <phoneticPr fontId="3" type="noConversion"/>
  </si>
  <si>
    <t>黑龙江区</t>
  </si>
  <si>
    <t>齐齐哈尔县区网上审批系统采购合同-昂昂溪（软件）</t>
  </si>
  <si>
    <t>齐齐哈尔县区网上审批系统采购合同-昂昂溪（集成）</t>
  </si>
  <si>
    <t>齐齐哈尔行政审批、公共资源交易综合监察软件项目维保合同</t>
  </si>
  <si>
    <t>佳木斯－前进区网上政务服务合同</t>
  </si>
  <si>
    <t>齐齐哈尔“一窗式”软硬件系统采购项目合同</t>
  </si>
  <si>
    <t>大庆市信息惠民PPP项目数据资源中心项目</t>
  </si>
  <si>
    <t>张铁锋</t>
  </si>
  <si>
    <t>王畅</t>
    <phoneticPr fontId="3" type="noConversion"/>
  </si>
  <si>
    <t>佳木斯－东风区网上政务服务合同</t>
  </si>
  <si>
    <t>东风区人民政府办公室</t>
  </si>
  <si>
    <t>前进区人民政府办公室</t>
  </si>
  <si>
    <t>抚远市政务服务业务系统服务及移动客户端开发项目合同</t>
  </si>
  <si>
    <t>谷坤山</t>
  </si>
  <si>
    <t>黑龙江华夏千博科技有限公司</t>
  </si>
  <si>
    <t>齐齐哈尔县区网上审批系统采购合同-克东（软件）</t>
  </si>
  <si>
    <t>齐齐哈尔县区网上审批系统采购合同-克东（集成）</t>
  </si>
  <si>
    <t>齐齐哈尔县区网上审批系统采购合同-梅里斯达斡尔族（软件）</t>
  </si>
  <si>
    <t>齐齐哈尔县区网上审批系统采购合同-梅里斯达斡尔族（集成）</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</si>
</sst>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_(* #,##0.00_);_(* \(#,##0.00\);_(* &quot;-&quot;??_);_(@_)"/>
    <numFmt numFmtId="177" formatCode="0_);[Red]\(0\)"/>
    <numFmt numFmtId="178" formatCode="_ * #,##0_ ;_ * \-#,##0_ ;_ * &quot;-&quot;??_ ;_ @_ "/>
    <numFmt numFmtId="179" formatCode="0.00_);[Red]\(0.00\)"/>
    <numFmt numFmtId="180" formatCode="0.00_ "/>
    <numFmt numFmtId="181" formatCode="0_ "/>
    <numFmt numFmtId="182" formatCode="#,##0_ "/>
  </numFmts>
  <fonts count="12" x14ac:knownFonts="1">
    <font>
      <sz val="11"/>
      <color theme="1"/>
      <name val="宋体"/>
      <family val="2"/>
      <charset val="134"/>
      <scheme val="minor"/>
    </font>
    <font>
      <sz val="11"/>
      <color theme="1"/>
      <name val="宋体"/>
      <family val="2"/>
      <charset val="134"/>
      <scheme val="minor"/>
    </font>
    <font>
      <sz val="12"/>
      <name val="Times New Roman"/>
      <family val="1"/>
    </font>
    <font>
      <sz val="9"/>
      <name val="宋体"/>
      <family val="2"/>
      <charset val="134"/>
      <scheme val="minor"/>
    </font>
    <font>
      <sz val="12"/>
      <name val="宋体"/>
      <family val="3"/>
      <charset val="134"/>
    </font>
    <font>
      <b/>
      <sz val="10"/>
      <name val="微软雅黑"/>
      <family val="2"/>
      <charset val="134"/>
    </font>
    <font>
      <sz val="9"/>
      <name val="宋体"/>
      <family val="3"/>
      <charset val="134"/>
    </font>
    <font>
      <sz val="9"/>
      <name val="宋体"/>
      <family val="3"/>
      <charset val="134"/>
      <scheme val="minor"/>
    </font>
    <font>
      <sz val="10"/>
      <name val="微软雅黑"/>
      <family val="2"/>
      <charset val="134"/>
    </font>
    <font>
      <sz val="10"/>
      <color theme="1"/>
      <name val="微软雅黑"/>
      <family val="2"/>
      <charset val="134"/>
    </font>
    <font>
      <sz val="11"/>
      <color theme="1"/>
      <name val="宋体"/>
      <family val="3"/>
      <charset val="134"/>
      <scheme val="minor"/>
    </font>
    <font>
      <sz val="10"/>
      <color rgb="FFFF0000"/>
      <name val="微软雅黑"/>
      <family val="2"/>
      <charset val="134"/>
    </font>
  </fonts>
  <fills count="8">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0" tint="-0.249977111117893"/>
        <bgColor indexed="64"/>
      </patternFill>
    </fill>
    <fill>
      <patternFill patternType="solid">
        <fgColor rgb="FFFF0000"/>
        <bgColor indexed="64"/>
      </patternFill>
    </fill>
    <fill>
      <patternFill patternType="solid">
        <fgColor theme="0" tint="-0.14999847407452621"/>
        <bgColor indexed="64"/>
      </patternFill>
    </fill>
    <fill>
      <patternFill patternType="solid">
        <fgColor theme="5"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8">
    <xf numFmtId="0" fontId="0" fillId="0" borderId="0">
      <alignment vertical="center"/>
    </xf>
    <xf numFmtId="9" fontId="1" fillId="0" borderId="0" applyFont="0" applyFill="0" applyBorder="0" applyAlignment="0" applyProtection="0">
      <alignment vertical="center"/>
    </xf>
    <xf numFmtId="0" fontId="2" fillId="0" borderId="0"/>
    <xf numFmtId="176" fontId="4" fillId="0" borderId="0" applyFont="0" applyFill="0" applyBorder="0" applyAlignment="0" applyProtection="0">
      <alignment vertical="center"/>
    </xf>
    <xf numFmtId="0" fontId="2" fillId="0" borderId="0"/>
    <xf numFmtId="0" fontId="4" fillId="0" borderId="0">
      <alignment vertical="center"/>
    </xf>
    <xf numFmtId="0" fontId="10" fillId="0" borderId="0">
      <alignment vertical="center"/>
    </xf>
    <xf numFmtId="9" fontId="10" fillId="0" borderId="0" applyFont="0" applyFill="0" applyBorder="0" applyAlignment="0" applyProtection="0">
      <alignment vertical="center"/>
    </xf>
  </cellStyleXfs>
  <cellXfs count="183">
    <xf numFmtId="0" fontId="0" fillId="0" borderId="0" xfId="0">
      <alignment vertical="center"/>
    </xf>
    <xf numFmtId="0" fontId="5" fillId="4" borderId="1" xfId="4" applyFont="1" applyFill="1" applyBorder="1" applyAlignment="1">
      <alignment horizontal="center"/>
    </xf>
    <xf numFmtId="14" fontId="5" fillId="4" borderId="1" xfId="4" applyNumberFormat="1" applyFont="1" applyFill="1" applyBorder="1" applyAlignment="1">
      <alignment horizontal="center"/>
    </xf>
    <xf numFmtId="177" fontId="5" fillId="4" borderId="1" xfId="4" applyNumberFormat="1" applyFont="1" applyFill="1" applyBorder="1" applyAlignment="1">
      <alignment horizontal="center"/>
    </xf>
    <xf numFmtId="9" fontId="5" fillId="4" borderId="1" xfId="1" applyFont="1" applyFill="1" applyBorder="1" applyAlignment="1">
      <alignment horizontal="center"/>
    </xf>
    <xf numFmtId="177" fontId="5" fillId="4" borderId="1" xfId="1" applyNumberFormat="1" applyFont="1" applyFill="1" applyBorder="1" applyAlignment="1">
      <alignment horizontal="center"/>
    </xf>
    <xf numFmtId="49" fontId="5" fillId="4" borderId="1" xfId="4" applyNumberFormat="1" applyFont="1" applyFill="1" applyBorder="1" applyAlignment="1">
      <alignment horizontal="center"/>
    </xf>
    <xf numFmtId="0" fontId="5" fillId="4" borderId="1" xfId="0" applyFont="1" applyFill="1" applyBorder="1" applyAlignment="1">
      <alignment horizontal="center"/>
    </xf>
    <xf numFmtId="0" fontId="8" fillId="5" borderId="1" xfId="0" applyFont="1" applyFill="1" applyBorder="1" applyAlignment="1">
      <alignment horizontal="center"/>
    </xf>
    <xf numFmtId="9" fontId="8" fillId="5" borderId="1" xfId="1" applyFont="1" applyFill="1" applyBorder="1" applyAlignment="1">
      <alignment horizontal="center"/>
    </xf>
    <xf numFmtId="0" fontId="8" fillId="3" borderId="1" xfId="2" applyFont="1" applyFill="1" applyBorder="1" applyAlignment="1">
      <alignment horizontal="center" vertical="center" wrapText="1"/>
    </xf>
    <xf numFmtId="10" fontId="8" fillId="3" borderId="1" xfId="2" applyNumberFormat="1" applyFont="1" applyFill="1" applyBorder="1" applyAlignment="1">
      <alignment horizontal="center" vertical="center" wrapText="1"/>
    </xf>
    <xf numFmtId="0" fontId="8" fillId="0" borderId="1" xfId="0" applyFont="1" applyBorder="1" applyAlignment="1">
      <alignment horizontal="center"/>
    </xf>
    <xf numFmtId="0" fontId="8" fillId="0" borderId="1" xfId="2" applyFont="1" applyFill="1" applyBorder="1" applyAlignment="1">
      <alignment horizontal="center" vertical="center" wrapText="1"/>
    </xf>
    <xf numFmtId="0" fontId="8" fillId="3" borderId="1" xfId="0" applyFont="1" applyFill="1" applyBorder="1" applyAlignment="1">
      <alignment horizontal="left" vertical="center"/>
    </xf>
    <xf numFmtId="14" fontId="8" fillId="3" borderId="1" xfId="0" applyNumberFormat="1" applyFont="1" applyFill="1" applyBorder="1" applyAlignment="1">
      <alignment horizontal="center" vertical="center"/>
    </xf>
    <xf numFmtId="177" fontId="8" fillId="3" borderId="1" xfId="0" applyNumberFormat="1" applyFont="1" applyFill="1" applyBorder="1" applyAlignment="1">
      <alignment horizontal="right" vertical="center"/>
    </xf>
    <xf numFmtId="9" fontId="8" fillId="3" borderId="1" xfId="1" applyFont="1" applyFill="1" applyBorder="1" applyAlignment="1">
      <alignment horizontal="right" vertical="center"/>
    </xf>
    <xf numFmtId="49" fontId="8" fillId="3" borderId="1" xfId="0" applyNumberFormat="1" applyFont="1" applyFill="1" applyBorder="1" applyAlignment="1">
      <alignment horizontal="center" vertical="center"/>
    </xf>
    <xf numFmtId="10" fontId="8" fillId="3" borderId="1" xfId="2" applyNumberFormat="1" applyFont="1" applyFill="1" applyBorder="1" applyAlignment="1">
      <alignment horizontal="center" vertical="center"/>
    </xf>
    <xf numFmtId="10" fontId="8" fillId="3" borderId="1" xfId="3" applyNumberFormat="1" applyFont="1" applyFill="1" applyBorder="1" applyAlignment="1">
      <alignment horizontal="center" vertical="center"/>
    </xf>
    <xf numFmtId="14" fontId="8" fillId="3" borderId="1" xfId="0" applyNumberFormat="1" applyFont="1" applyFill="1" applyBorder="1" applyAlignment="1">
      <alignment horizontal="center" vertical="center" wrapText="1"/>
    </xf>
    <xf numFmtId="178" fontId="8" fillId="3" borderId="1" xfId="3" applyNumberFormat="1" applyFont="1" applyFill="1" applyBorder="1" applyAlignment="1">
      <alignment horizontal="center" vertical="center"/>
    </xf>
    <xf numFmtId="178" fontId="8" fillId="3" borderId="1" xfId="3" applyNumberFormat="1" applyFont="1" applyFill="1" applyBorder="1" applyAlignment="1">
      <alignment horizontal="center" vertical="center" wrapText="1"/>
    </xf>
    <xf numFmtId="49" fontId="8" fillId="3" borderId="1" xfId="3" applyNumberFormat="1" applyFont="1" applyFill="1" applyBorder="1" applyAlignment="1">
      <alignment horizontal="center" vertical="center"/>
    </xf>
    <xf numFmtId="10" fontId="8" fillId="3" borderId="1" xfId="3" applyNumberFormat="1" applyFont="1" applyFill="1" applyBorder="1" applyAlignment="1">
      <alignment horizontal="left" vertical="top" wrapText="1"/>
    </xf>
    <xf numFmtId="177" fontId="8" fillId="0" borderId="1" xfId="0" applyNumberFormat="1" applyFont="1" applyBorder="1" applyAlignment="1">
      <alignment vertical="center"/>
    </xf>
    <xf numFmtId="0" fontId="5" fillId="6" borderId="1" xfId="4" applyFont="1" applyFill="1" applyBorder="1" applyAlignment="1">
      <alignment horizontal="center" vertical="center"/>
    </xf>
    <xf numFmtId="0" fontId="5" fillId="6" borderId="1" xfId="0" applyFont="1" applyFill="1" applyBorder="1" applyAlignment="1">
      <alignment horizontal="center" vertical="center"/>
    </xf>
    <xf numFmtId="177" fontId="5" fillId="6" borderId="1" xfId="4" applyNumberFormat="1" applyFont="1" applyFill="1" applyBorder="1" applyAlignment="1">
      <alignment horizontal="center" vertical="center"/>
    </xf>
    <xf numFmtId="10" fontId="5" fillId="6" borderId="1" xfId="1" applyNumberFormat="1" applyFont="1" applyFill="1" applyBorder="1" applyAlignment="1">
      <alignment horizontal="center" vertical="center"/>
    </xf>
    <xf numFmtId="177" fontId="5" fillId="6" borderId="1" xfId="1" applyNumberFormat="1" applyFont="1" applyFill="1" applyBorder="1" applyAlignment="1">
      <alignment horizontal="center" vertical="center"/>
    </xf>
    <xf numFmtId="14" fontId="5" fillId="6" borderId="1" xfId="4" applyNumberFormat="1" applyFont="1" applyFill="1" applyBorder="1" applyAlignment="1">
      <alignment horizontal="center" vertical="center"/>
    </xf>
    <xf numFmtId="49" fontId="5" fillId="6" borderId="1" xfId="4" applyNumberFormat="1" applyFont="1" applyFill="1" applyBorder="1" applyAlignment="1">
      <alignment horizontal="center" vertical="center"/>
    </xf>
    <xf numFmtId="177" fontId="5" fillId="6" borderId="1" xfId="0" applyNumberFormat="1" applyFont="1" applyFill="1" applyBorder="1" applyAlignment="1">
      <alignment horizontal="center" vertical="center"/>
    </xf>
    <xf numFmtId="0" fontId="8" fillId="3" borderId="1" xfId="2" applyFont="1" applyFill="1" applyBorder="1" applyAlignment="1">
      <alignment horizontal="center" vertical="center"/>
    </xf>
    <xf numFmtId="0" fontId="8" fillId="3" borderId="1" xfId="0" applyFont="1" applyFill="1" applyBorder="1" applyAlignment="1">
      <alignment horizontal="center" vertical="center"/>
    </xf>
    <xf numFmtId="10" fontId="8" fillId="3" borderId="1" xfId="0" applyNumberFormat="1" applyFont="1" applyFill="1" applyBorder="1" applyAlignment="1">
      <alignment horizontal="right" vertical="center"/>
    </xf>
    <xf numFmtId="177" fontId="9" fillId="3" borderId="1" xfId="0" applyNumberFormat="1" applyFont="1" applyFill="1" applyBorder="1" applyAlignment="1">
      <alignment vertical="center"/>
    </xf>
    <xf numFmtId="0" fontId="8" fillId="5" borderId="1" xfId="0" applyFont="1" applyFill="1" applyBorder="1" applyAlignment="1">
      <alignment horizontal="center" vertical="center"/>
    </xf>
    <xf numFmtId="9" fontId="8" fillId="5" borderId="1" xfId="0" applyNumberFormat="1" applyFont="1" applyFill="1" applyBorder="1" applyAlignment="1">
      <alignment horizontal="center" vertical="center"/>
    </xf>
    <xf numFmtId="0" fontId="8" fillId="3" borderId="1" xfId="2" applyFont="1" applyFill="1" applyBorder="1" applyAlignment="1">
      <alignment horizontal="left" vertical="center"/>
    </xf>
    <xf numFmtId="178" fontId="8" fillId="3" borderId="1" xfId="3" applyNumberFormat="1" applyFont="1" applyFill="1" applyBorder="1" applyAlignment="1">
      <alignment horizontal="right" vertical="center"/>
    </xf>
    <xf numFmtId="14" fontId="8" fillId="0" borderId="1" xfId="0" applyNumberFormat="1" applyFont="1" applyFill="1" applyBorder="1" applyAlignment="1">
      <alignment horizontal="center" vertical="center"/>
    </xf>
    <xf numFmtId="177" fontId="8" fillId="3" borderId="1" xfId="2" applyNumberFormat="1" applyFont="1" applyFill="1" applyBorder="1" applyAlignment="1">
      <alignment horizontal="center" vertical="center"/>
    </xf>
    <xf numFmtId="177" fontId="8" fillId="5" borderId="1" xfId="0" applyNumberFormat="1" applyFont="1" applyFill="1" applyBorder="1" applyAlignment="1">
      <alignment horizontal="center" vertical="center"/>
    </xf>
    <xf numFmtId="178" fontId="8" fillId="5" borderId="1" xfId="0" applyNumberFormat="1" applyFont="1" applyFill="1" applyBorder="1" applyAlignment="1">
      <alignment horizontal="center" vertical="center"/>
    </xf>
    <xf numFmtId="10" fontId="8" fillId="3" borderId="1" xfId="2" applyNumberFormat="1" applyFont="1" applyFill="1" applyBorder="1" applyAlignment="1">
      <alignment horizontal="center" vertical="top" wrapText="1"/>
    </xf>
    <xf numFmtId="0" fontId="8" fillId="0" borderId="1" xfId="0" applyFont="1" applyBorder="1" applyAlignment="1">
      <alignment horizontal="center" vertical="center"/>
    </xf>
    <xf numFmtId="0" fontId="8" fillId="0" borderId="1" xfId="2" applyFont="1" applyFill="1" applyBorder="1" applyAlignment="1">
      <alignment horizontal="center" vertical="center"/>
    </xf>
    <xf numFmtId="14" fontId="8" fillId="0" borderId="1" xfId="0" applyNumberFormat="1" applyFont="1" applyBorder="1" applyAlignment="1">
      <alignment horizontal="center" vertical="center"/>
    </xf>
    <xf numFmtId="0" fontId="8" fillId="0" borderId="1" xfId="0" applyFont="1" applyBorder="1" applyAlignment="1">
      <alignment horizontal="left"/>
    </xf>
    <xf numFmtId="49" fontId="8" fillId="5" borderId="1" xfId="0" applyNumberFormat="1" applyFont="1" applyFill="1" applyBorder="1" applyAlignment="1">
      <alignment horizontal="center" vertical="center"/>
    </xf>
    <xf numFmtId="179" fontId="9" fillId="5" borderId="1" xfId="0" applyNumberFormat="1" applyFont="1" applyFill="1" applyBorder="1" applyAlignment="1">
      <alignment horizontal="right" vertical="center"/>
    </xf>
    <xf numFmtId="180" fontId="9" fillId="5" borderId="1" xfId="0" applyNumberFormat="1" applyFont="1" applyFill="1" applyBorder="1" applyAlignment="1">
      <alignment horizontal="right" vertical="center"/>
    </xf>
    <xf numFmtId="177" fontId="8" fillId="0" borderId="1" xfId="0" applyNumberFormat="1" applyFont="1" applyBorder="1" applyAlignment="1">
      <alignment horizontal="left" vertical="center"/>
    </xf>
    <xf numFmtId="49" fontId="8" fillId="5" borderId="1" xfId="3" applyNumberFormat="1" applyFont="1" applyFill="1" applyBorder="1" applyAlignment="1">
      <alignment horizontal="center" vertical="center"/>
    </xf>
    <xf numFmtId="179" fontId="9" fillId="5" borderId="1" xfId="3" applyNumberFormat="1" applyFont="1" applyFill="1" applyBorder="1" applyAlignment="1">
      <alignment horizontal="center" vertical="center"/>
    </xf>
    <xf numFmtId="179" fontId="9" fillId="5" borderId="1" xfId="3" applyNumberFormat="1" applyFont="1" applyFill="1" applyBorder="1" applyAlignment="1">
      <alignment horizontal="center" vertical="center" wrapText="1"/>
    </xf>
    <xf numFmtId="0" fontId="8" fillId="5" borderId="1" xfId="2" applyFont="1" applyFill="1" applyBorder="1" applyAlignment="1">
      <alignment horizontal="center" vertical="center"/>
    </xf>
    <xf numFmtId="180" fontId="8" fillId="5" borderId="1" xfId="0" applyNumberFormat="1" applyFont="1" applyFill="1" applyBorder="1" applyAlignment="1">
      <alignment horizontal="right" vertical="center"/>
    </xf>
    <xf numFmtId="180" fontId="8" fillId="5" borderId="1" xfId="3" applyNumberFormat="1" applyFont="1" applyFill="1" applyBorder="1" applyAlignment="1">
      <alignment horizontal="right" vertical="center"/>
    </xf>
    <xf numFmtId="0" fontId="8" fillId="2" borderId="1" xfId="2" applyFont="1" applyFill="1" applyBorder="1" applyAlignment="1">
      <alignment horizontal="center" vertical="center"/>
    </xf>
    <xf numFmtId="0" fontId="8" fillId="2" borderId="1" xfId="2" applyFont="1" applyFill="1" applyBorder="1" applyAlignment="1">
      <alignment horizontal="left" vertical="center"/>
    </xf>
    <xf numFmtId="178" fontId="8" fillId="2" borderId="1" xfId="3" applyNumberFormat="1" applyFont="1" applyFill="1" applyBorder="1" applyAlignment="1">
      <alignment horizontal="right" vertical="center"/>
    </xf>
    <xf numFmtId="10" fontId="8" fillId="2" borderId="1" xfId="2" applyNumberFormat="1" applyFont="1" applyFill="1" applyBorder="1" applyAlignment="1">
      <alignment horizontal="center" vertical="center"/>
    </xf>
    <xf numFmtId="14" fontId="8" fillId="2" borderId="1" xfId="0" applyNumberFormat="1" applyFont="1" applyFill="1" applyBorder="1" applyAlignment="1">
      <alignment horizontal="center" vertical="center"/>
    </xf>
    <xf numFmtId="177" fontId="8" fillId="2" borderId="1" xfId="2" applyNumberFormat="1" applyFont="1" applyFill="1" applyBorder="1" applyAlignment="1">
      <alignment horizontal="center" vertical="center"/>
    </xf>
    <xf numFmtId="177" fontId="8" fillId="5" borderId="1" xfId="0" applyNumberFormat="1" applyFont="1" applyFill="1" applyBorder="1" applyAlignment="1">
      <alignment horizontal="right" vertical="center"/>
    </xf>
    <xf numFmtId="178" fontId="8" fillId="5" borderId="1" xfId="3" applyNumberFormat="1" applyFont="1" applyFill="1" applyBorder="1" applyAlignment="1">
      <alignment horizontal="right" vertical="center"/>
    </xf>
    <xf numFmtId="181" fontId="8" fillId="5" borderId="1" xfId="0" applyNumberFormat="1" applyFont="1" applyFill="1" applyBorder="1" applyAlignment="1">
      <alignment horizontal="center"/>
    </xf>
    <xf numFmtId="181" fontId="8" fillId="5" borderId="1" xfId="0" applyNumberFormat="1" applyFont="1" applyFill="1" applyBorder="1" applyAlignment="1">
      <alignment horizontal="center" vertical="center"/>
    </xf>
    <xf numFmtId="0" fontId="8" fillId="5" borderId="1" xfId="6" applyFont="1" applyFill="1" applyBorder="1" applyAlignment="1">
      <alignment horizontal="center"/>
    </xf>
    <xf numFmtId="9" fontId="8" fillId="5" borderId="1" xfId="7" applyFont="1" applyFill="1" applyBorder="1" applyAlignment="1">
      <alignment horizontal="center"/>
    </xf>
    <xf numFmtId="0" fontId="8" fillId="0" borderId="1" xfId="6" applyFont="1" applyBorder="1" applyAlignment="1">
      <alignment horizontal="center"/>
    </xf>
    <xf numFmtId="0" fontId="8" fillId="3" borderId="1" xfId="6" applyFont="1" applyFill="1" applyBorder="1" applyAlignment="1">
      <alignment horizontal="left" vertical="center"/>
    </xf>
    <xf numFmtId="14" fontId="8" fillId="3" borderId="1" xfId="6" applyNumberFormat="1" applyFont="1" applyFill="1" applyBorder="1" applyAlignment="1">
      <alignment horizontal="center" vertical="center"/>
    </xf>
    <xf numFmtId="177" fontId="8" fillId="3" borderId="1" xfId="6" applyNumberFormat="1" applyFont="1" applyFill="1" applyBorder="1" applyAlignment="1">
      <alignment horizontal="right" vertical="center"/>
    </xf>
    <xf numFmtId="9" fontId="8" fillId="3" borderId="1" xfId="7" applyFont="1" applyFill="1" applyBorder="1" applyAlignment="1">
      <alignment horizontal="right" vertical="center"/>
    </xf>
    <xf numFmtId="49" fontId="8" fillId="3" borderId="1" xfId="6" applyNumberFormat="1" applyFont="1" applyFill="1" applyBorder="1" applyAlignment="1">
      <alignment horizontal="center" vertical="center"/>
    </xf>
    <xf numFmtId="9" fontId="8" fillId="5" borderId="1" xfId="7" applyNumberFormat="1" applyFont="1" applyFill="1" applyBorder="1" applyAlignment="1">
      <alignment horizontal="center"/>
    </xf>
    <xf numFmtId="14" fontId="8" fillId="3" borderId="1" xfId="6" applyNumberFormat="1" applyFont="1" applyFill="1" applyBorder="1" applyAlignment="1">
      <alignment horizontal="center" vertical="center" wrapText="1"/>
    </xf>
    <xf numFmtId="177" fontId="8" fillId="0" borderId="1" xfId="6" applyNumberFormat="1" applyFont="1" applyBorder="1" applyAlignment="1">
      <alignment vertical="center"/>
    </xf>
    <xf numFmtId="0" fontId="8" fillId="3" borderId="1" xfId="6" applyFont="1" applyFill="1" applyBorder="1" applyAlignment="1">
      <alignment horizontal="center" vertical="center"/>
    </xf>
    <xf numFmtId="10" fontId="8" fillId="3" borderId="1" xfId="6" applyNumberFormat="1" applyFont="1" applyFill="1" applyBorder="1" applyAlignment="1">
      <alignment horizontal="right" vertical="center"/>
    </xf>
    <xf numFmtId="177" fontId="9" fillId="3" borderId="1" xfId="6" applyNumberFormat="1" applyFont="1" applyFill="1" applyBorder="1" applyAlignment="1">
      <alignment vertical="center"/>
    </xf>
    <xf numFmtId="0" fontId="8" fillId="5" borderId="1" xfId="6" applyFont="1" applyFill="1" applyBorder="1" applyAlignment="1">
      <alignment horizontal="center" vertical="center"/>
    </xf>
    <xf numFmtId="9" fontId="8" fillId="5" borderId="1" xfId="6" applyNumberFormat="1" applyFont="1" applyFill="1" applyBorder="1" applyAlignment="1">
      <alignment horizontal="center" vertical="center"/>
    </xf>
    <xf numFmtId="14" fontId="8" fillId="0" borderId="1" xfId="6" applyNumberFormat="1" applyFont="1" applyFill="1" applyBorder="1" applyAlignment="1">
      <alignment horizontal="center" vertical="center"/>
    </xf>
    <xf numFmtId="14" fontId="8" fillId="2" borderId="1" xfId="6" applyNumberFormat="1" applyFont="1" applyFill="1" applyBorder="1" applyAlignment="1">
      <alignment horizontal="center" vertical="center"/>
    </xf>
    <xf numFmtId="0" fontId="8" fillId="0" borderId="1" xfId="6" applyFont="1" applyBorder="1" applyAlignment="1">
      <alignment horizontal="center" vertical="center"/>
    </xf>
    <xf numFmtId="14" fontId="8" fillId="0" borderId="1" xfId="6" applyNumberFormat="1" applyFont="1" applyBorder="1" applyAlignment="1">
      <alignment horizontal="center" vertical="center"/>
    </xf>
    <xf numFmtId="0" fontId="11" fillId="3" borderId="1" xfId="2" applyFont="1" applyFill="1" applyBorder="1" applyAlignment="1">
      <alignment horizontal="center" vertical="center"/>
    </xf>
    <xf numFmtId="0" fontId="11" fillId="0" borderId="1" xfId="6" applyFont="1" applyBorder="1" applyAlignment="1">
      <alignment horizontal="center" vertical="center"/>
    </xf>
    <xf numFmtId="0" fontId="11" fillId="0" borderId="1" xfId="2" applyFont="1" applyFill="1" applyBorder="1" applyAlignment="1">
      <alignment horizontal="center" vertical="center"/>
    </xf>
    <xf numFmtId="0" fontId="11" fillId="3" borderId="1" xfId="6" applyFont="1" applyFill="1" applyBorder="1" applyAlignment="1">
      <alignment horizontal="left" vertical="center"/>
    </xf>
    <xf numFmtId="177" fontId="11" fillId="3" borderId="1" xfId="6" applyNumberFormat="1" applyFont="1" applyFill="1" applyBorder="1" applyAlignment="1">
      <alignment horizontal="right" vertical="center"/>
    </xf>
    <xf numFmtId="10" fontId="11" fillId="3" borderId="1" xfId="6" applyNumberFormat="1" applyFont="1" applyFill="1" applyBorder="1" applyAlignment="1">
      <alignment horizontal="right" vertical="center"/>
    </xf>
    <xf numFmtId="14" fontId="11" fillId="0" borderId="1" xfId="6" applyNumberFormat="1" applyFont="1" applyBorder="1" applyAlignment="1">
      <alignment horizontal="center" vertical="center"/>
    </xf>
    <xf numFmtId="0" fontId="11" fillId="3" borderId="1" xfId="6" applyFont="1" applyFill="1" applyBorder="1" applyAlignment="1">
      <alignment horizontal="center" vertical="center"/>
    </xf>
    <xf numFmtId="177" fontId="11" fillId="3" borderId="1" xfId="6" applyNumberFormat="1" applyFont="1" applyFill="1" applyBorder="1" applyAlignment="1">
      <alignment vertical="center"/>
    </xf>
    <xf numFmtId="177" fontId="8" fillId="5" borderId="1" xfId="0" applyNumberFormat="1" applyFont="1" applyFill="1" applyBorder="1" applyAlignment="1">
      <alignment horizontal="center"/>
    </xf>
    <xf numFmtId="0" fontId="11" fillId="2" borderId="1" xfId="2" applyFont="1" applyFill="1" applyBorder="1" applyAlignment="1">
      <alignment horizontal="center" vertical="center"/>
    </xf>
    <xf numFmtId="0" fontId="11" fillId="3" borderId="1" xfId="0" applyFont="1" applyFill="1" applyBorder="1" applyAlignment="1">
      <alignment horizontal="center" vertical="center"/>
    </xf>
    <xf numFmtId="177" fontId="11" fillId="3" borderId="1" xfId="0" applyNumberFormat="1" applyFont="1" applyFill="1" applyBorder="1" applyAlignment="1">
      <alignment vertical="center"/>
    </xf>
    <xf numFmtId="0" fontId="8" fillId="7" borderId="1" xfId="2" applyFont="1" applyFill="1" applyBorder="1" applyAlignment="1">
      <alignment horizontal="center" vertical="center" wrapText="1"/>
    </xf>
    <xf numFmtId="0" fontId="8" fillId="7" borderId="1" xfId="0" applyFont="1" applyFill="1" applyBorder="1" applyAlignment="1">
      <alignment horizontal="left" vertical="center"/>
    </xf>
    <xf numFmtId="14" fontId="8" fillId="7" borderId="1" xfId="0" applyNumberFormat="1" applyFont="1" applyFill="1" applyBorder="1" applyAlignment="1">
      <alignment horizontal="center" vertical="center"/>
    </xf>
    <xf numFmtId="177" fontId="8" fillId="7" borderId="1" xfId="0" applyNumberFormat="1" applyFont="1" applyFill="1" applyBorder="1" applyAlignment="1">
      <alignment horizontal="right" vertical="center"/>
    </xf>
    <xf numFmtId="9" fontId="8" fillId="7" borderId="1" xfId="1" applyFont="1" applyFill="1" applyBorder="1" applyAlignment="1">
      <alignment horizontal="right" vertical="center"/>
    </xf>
    <xf numFmtId="49" fontId="8" fillId="7" borderId="1" xfId="0" applyNumberFormat="1" applyFont="1" applyFill="1" applyBorder="1" applyAlignment="1">
      <alignment horizontal="center" vertical="center"/>
    </xf>
    <xf numFmtId="0" fontId="8" fillId="7" borderId="1" xfId="0" applyFont="1" applyFill="1" applyBorder="1" applyAlignment="1">
      <alignment horizontal="center"/>
    </xf>
    <xf numFmtId="10" fontId="8" fillId="7" borderId="1" xfId="2" applyNumberFormat="1" applyFont="1" applyFill="1" applyBorder="1" applyAlignment="1">
      <alignment horizontal="center" vertical="center"/>
    </xf>
    <xf numFmtId="9" fontId="8" fillId="7" borderId="1" xfId="1" applyFont="1" applyFill="1" applyBorder="1" applyAlignment="1">
      <alignment horizontal="center"/>
    </xf>
    <xf numFmtId="1" fontId="8" fillId="7" borderId="1" xfId="0" applyNumberFormat="1" applyFont="1" applyFill="1" applyBorder="1" applyAlignment="1">
      <alignment horizontal="center"/>
    </xf>
    <xf numFmtId="0" fontId="8" fillId="2" borderId="1" xfId="2" applyFont="1" applyFill="1" applyBorder="1" applyAlignment="1">
      <alignment horizontal="center" vertical="center" wrapText="1"/>
    </xf>
    <xf numFmtId="0" fontId="8" fillId="2" borderId="1" xfId="0" applyFont="1" applyFill="1" applyBorder="1" applyAlignment="1">
      <alignment horizontal="left" vertical="center"/>
    </xf>
    <xf numFmtId="177" fontId="8" fillId="2" borderId="1" xfId="0" applyNumberFormat="1" applyFont="1" applyFill="1" applyBorder="1" applyAlignment="1">
      <alignment horizontal="right" vertical="center"/>
    </xf>
    <xf numFmtId="9" fontId="8" fillId="2" borderId="1" xfId="1" applyFont="1" applyFill="1" applyBorder="1" applyAlignment="1">
      <alignment horizontal="right" vertical="center"/>
    </xf>
    <xf numFmtId="49" fontId="8" fillId="2" borderId="1" xfId="0" applyNumberFormat="1" applyFont="1" applyFill="1" applyBorder="1" applyAlignment="1">
      <alignment horizontal="center" vertical="center"/>
    </xf>
    <xf numFmtId="0" fontId="8" fillId="2" borderId="1" xfId="0" applyFont="1" applyFill="1" applyBorder="1" applyAlignment="1">
      <alignment horizontal="center"/>
    </xf>
    <xf numFmtId="10" fontId="8" fillId="2" borderId="1" xfId="2" applyNumberFormat="1" applyFont="1" applyFill="1" applyBorder="1" applyAlignment="1">
      <alignment horizontal="center" vertical="top" wrapText="1"/>
    </xf>
    <xf numFmtId="9" fontId="8" fillId="2" borderId="1" xfId="1" applyFont="1" applyFill="1" applyBorder="1" applyAlignment="1">
      <alignment horizontal="center"/>
    </xf>
    <xf numFmtId="1" fontId="8" fillId="2" borderId="1" xfId="0" applyNumberFormat="1" applyFont="1" applyFill="1" applyBorder="1" applyAlignment="1">
      <alignment horizontal="center"/>
    </xf>
    <xf numFmtId="10" fontId="8" fillId="7" borderId="1" xfId="2" applyNumberFormat="1" applyFont="1" applyFill="1" applyBorder="1" applyAlignment="1">
      <alignment horizontal="center" vertical="top" wrapText="1"/>
    </xf>
    <xf numFmtId="9" fontId="8" fillId="3" borderId="1" xfId="0" applyNumberFormat="1" applyFont="1" applyFill="1" applyBorder="1" applyAlignment="1">
      <alignment horizontal="center" vertical="center"/>
    </xf>
    <xf numFmtId="177" fontId="8" fillId="3" borderId="1" xfId="0" applyNumberFormat="1" applyFont="1" applyFill="1" applyBorder="1" applyAlignment="1">
      <alignment horizontal="center" vertical="center"/>
    </xf>
    <xf numFmtId="10" fontId="8" fillId="2" borderId="1" xfId="0" applyNumberFormat="1" applyFont="1" applyFill="1" applyBorder="1" applyAlignment="1">
      <alignment horizontal="right" vertical="center"/>
    </xf>
    <xf numFmtId="0" fontId="8" fillId="2" borderId="1" xfId="0" applyFont="1" applyFill="1" applyBorder="1" applyAlignment="1">
      <alignment horizontal="center" vertical="center"/>
    </xf>
    <xf numFmtId="177" fontId="8" fillId="2" borderId="1" xfId="0" applyNumberFormat="1" applyFont="1" applyFill="1" applyBorder="1" applyAlignment="1">
      <alignment vertical="center"/>
    </xf>
    <xf numFmtId="9" fontId="8" fillId="2" borderId="1" xfId="0" applyNumberFormat="1" applyFont="1" applyFill="1" applyBorder="1" applyAlignment="1">
      <alignment horizontal="center" vertical="center"/>
    </xf>
    <xf numFmtId="177" fontId="8" fillId="2" borderId="1" xfId="0" applyNumberFormat="1" applyFont="1" applyFill="1" applyBorder="1" applyAlignment="1">
      <alignment horizontal="center" vertical="center"/>
    </xf>
    <xf numFmtId="177" fontId="9" fillId="2" borderId="1" xfId="0" applyNumberFormat="1" applyFont="1" applyFill="1" applyBorder="1" applyAlignment="1">
      <alignment vertical="center"/>
    </xf>
    <xf numFmtId="9" fontId="8" fillId="3" borderId="1" xfId="1" applyFont="1" applyFill="1" applyBorder="1" applyAlignment="1">
      <alignment horizontal="center"/>
    </xf>
    <xf numFmtId="0" fontId="8" fillId="3" borderId="1" xfId="0" applyFont="1" applyFill="1" applyBorder="1" applyAlignment="1">
      <alignment horizontal="center"/>
    </xf>
    <xf numFmtId="0" fontId="9" fillId="5" borderId="1" xfId="2" applyFont="1" applyFill="1" applyBorder="1" applyAlignment="1">
      <alignment horizontal="center" vertical="center"/>
    </xf>
    <xf numFmtId="0" fontId="9" fillId="5" borderId="1" xfId="0" applyFont="1" applyFill="1" applyBorder="1" applyAlignment="1">
      <alignment horizontal="center" vertical="center"/>
    </xf>
    <xf numFmtId="0" fontId="9" fillId="5" borderId="1" xfId="0" applyFont="1" applyFill="1" applyBorder="1" applyAlignment="1">
      <alignment horizontal="left" vertical="center"/>
    </xf>
    <xf numFmtId="177" fontId="9" fillId="5" borderId="1" xfId="0" applyNumberFormat="1" applyFont="1" applyFill="1" applyBorder="1" applyAlignment="1">
      <alignment horizontal="right" vertical="center"/>
    </xf>
    <xf numFmtId="10" fontId="9" fillId="5" borderId="1" xfId="0" applyNumberFormat="1" applyFont="1" applyFill="1" applyBorder="1" applyAlignment="1">
      <alignment horizontal="right" vertical="center"/>
    </xf>
    <xf numFmtId="14" fontId="9" fillId="5" borderId="1" xfId="0" applyNumberFormat="1" applyFont="1" applyFill="1" applyBorder="1" applyAlignment="1">
      <alignment horizontal="center" vertical="center"/>
    </xf>
    <xf numFmtId="177" fontId="9" fillId="5" borderId="1" xfId="0" applyNumberFormat="1" applyFont="1" applyFill="1" applyBorder="1" applyAlignment="1">
      <alignment vertical="center"/>
    </xf>
    <xf numFmtId="9" fontId="9" fillId="5" borderId="1" xfId="0" applyNumberFormat="1" applyFont="1" applyFill="1" applyBorder="1" applyAlignment="1">
      <alignment horizontal="center" vertical="center"/>
    </xf>
    <xf numFmtId="0" fontId="8" fillId="5" borderId="1" xfId="2" applyFont="1" applyFill="1" applyBorder="1" applyAlignment="1">
      <alignment horizontal="left" vertical="center"/>
    </xf>
    <xf numFmtId="10" fontId="8" fillId="5" borderId="1" xfId="2" applyNumberFormat="1" applyFont="1" applyFill="1" applyBorder="1" applyAlignment="1">
      <alignment horizontal="center" vertical="center"/>
    </xf>
    <xf numFmtId="14" fontId="8" fillId="5" borderId="1" xfId="0" applyNumberFormat="1" applyFont="1" applyFill="1" applyBorder="1" applyAlignment="1">
      <alignment horizontal="center" vertical="center"/>
    </xf>
    <xf numFmtId="177" fontId="8" fillId="5" borderId="1" xfId="2" applyNumberFormat="1" applyFont="1" applyFill="1" applyBorder="1" applyAlignment="1">
      <alignment horizontal="center" vertical="center"/>
    </xf>
    <xf numFmtId="0" fontId="0" fillId="5" borderId="0" xfId="0" applyFill="1">
      <alignment vertical="center"/>
    </xf>
    <xf numFmtId="0" fontId="8" fillId="5" borderId="1" xfId="0" applyFont="1" applyFill="1" applyBorder="1" applyAlignment="1">
      <alignment horizontal="left" vertical="center"/>
    </xf>
    <xf numFmtId="10" fontId="8" fillId="5" borderId="1" xfId="0" applyNumberFormat="1" applyFont="1" applyFill="1" applyBorder="1" applyAlignment="1">
      <alignment horizontal="right" vertical="center"/>
    </xf>
    <xf numFmtId="49" fontId="11" fillId="3" borderId="1" xfId="0" applyNumberFormat="1" applyFont="1" applyFill="1" applyBorder="1" applyAlignment="1">
      <alignment horizontal="center" vertical="center"/>
    </xf>
    <xf numFmtId="178" fontId="8" fillId="3" borderId="1" xfId="3" applyNumberFormat="1" applyFont="1" applyFill="1" applyBorder="1" applyAlignment="1">
      <alignment vertical="center"/>
    </xf>
    <xf numFmtId="9" fontId="8" fillId="3" borderId="1" xfId="1" applyFont="1" applyFill="1" applyBorder="1" applyAlignment="1">
      <alignment horizontal="center" vertical="center"/>
    </xf>
    <xf numFmtId="182" fontId="8" fillId="5" borderId="1" xfId="3" applyNumberFormat="1" applyFont="1" applyFill="1" applyBorder="1" applyAlignment="1">
      <alignment horizontal="center" vertical="center" wrapText="1"/>
    </xf>
    <xf numFmtId="177" fontId="8" fillId="0" borderId="1" xfId="0" applyNumberFormat="1" applyFont="1" applyBorder="1" applyAlignment="1">
      <alignment horizontal="center" vertical="center"/>
    </xf>
    <xf numFmtId="9" fontId="8" fillId="5" borderId="1" xfId="1" applyFont="1" applyFill="1" applyBorder="1" applyAlignment="1">
      <alignment horizontal="center" vertical="center"/>
    </xf>
    <xf numFmtId="0" fontId="8" fillId="0" borderId="2" xfId="0" applyFont="1" applyBorder="1" applyAlignment="1">
      <alignment horizontal="center"/>
    </xf>
    <xf numFmtId="0" fontId="8" fillId="3" borderId="2" xfId="0" applyFont="1" applyFill="1" applyBorder="1" applyAlignment="1">
      <alignment horizontal="center" vertical="center"/>
    </xf>
    <xf numFmtId="10" fontId="8" fillId="3" borderId="2" xfId="3" applyNumberFormat="1" applyFont="1" applyFill="1" applyBorder="1" applyAlignment="1">
      <alignment horizontal="center" vertical="center"/>
    </xf>
    <xf numFmtId="0" fontId="8" fillId="3" borderId="2" xfId="6" applyFont="1" applyFill="1" applyBorder="1" applyAlignment="1">
      <alignment horizontal="center" vertical="center"/>
    </xf>
    <xf numFmtId="177" fontId="9" fillId="3" borderId="2" xfId="0" applyNumberFormat="1" applyFont="1" applyFill="1" applyBorder="1" applyAlignment="1">
      <alignment vertical="center"/>
    </xf>
    <xf numFmtId="177" fontId="8" fillId="0" borderId="2" xfId="0" applyNumberFormat="1" applyFont="1" applyBorder="1" applyAlignment="1">
      <alignment vertical="center"/>
    </xf>
    <xf numFmtId="177" fontId="9" fillId="3" borderId="2" xfId="6" applyNumberFormat="1" applyFont="1" applyFill="1" applyBorder="1" applyAlignment="1">
      <alignment vertical="center"/>
    </xf>
    <xf numFmtId="0" fontId="8" fillId="5" borderId="0" xfId="0" applyFont="1" applyFill="1" applyBorder="1" applyAlignment="1">
      <alignment horizontal="center" vertical="center"/>
    </xf>
    <xf numFmtId="0" fontId="8" fillId="5" borderId="0" xfId="2" applyFont="1" applyFill="1" applyBorder="1" applyAlignment="1">
      <alignment horizontal="center" vertical="center"/>
    </xf>
    <xf numFmtId="0" fontId="8" fillId="5" borderId="0" xfId="6" applyFont="1" applyFill="1" applyBorder="1" applyAlignment="1">
      <alignment horizontal="center" vertical="center"/>
    </xf>
    <xf numFmtId="177" fontId="8" fillId="5" borderId="0" xfId="0" applyNumberFormat="1" applyFont="1" applyFill="1" applyBorder="1" applyAlignment="1">
      <alignment horizontal="center"/>
    </xf>
    <xf numFmtId="0" fontId="8" fillId="5" borderId="0" xfId="0" applyFont="1" applyFill="1" applyBorder="1" applyAlignment="1">
      <alignment horizontal="center"/>
    </xf>
    <xf numFmtId="179" fontId="9" fillId="5" borderId="0" xfId="0" applyNumberFormat="1" applyFont="1" applyFill="1" applyBorder="1" applyAlignment="1">
      <alignment horizontal="right" vertical="center"/>
    </xf>
    <xf numFmtId="9" fontId="8" fillId="5" borderId="0" xfId="0" applyNumberFormat="1" applyFont="1" applyFill="1" applyBorder="1" applyAlignment="1">
      <alignment horizontal="center" vertical="center"/>
    </xf>
    <xf numFmtId="9" fontId="8" fillId="5" borderId="0" xfId="6" applyNumberFormat="1" applyFont="1" applyFill="1" applyBorder="1" applyAlignment="1">
      <alignment horizontal="center" vertical="center"/>
    </xf>
    <xf numFmtId="177" fontId="8" fillId="5" borderId="0" xfId="0" applyNumberFormat="1" applyFont="1" applyFill="1" applyBorder="1" applyAlignment="1">
      <alignment horizontal="right" vertical="center"/>
    </xf>
    <xf numFmtId="9" fontId="8" fillId="5" borderId="0" xfId="1" applyFont="1" applyFill="1" applyBorder="1" applyAlignment="1">
      <alignment horizontal="center"/>
    </xf>
    <xf numFmtId="0" fontId="8" fillId="5" borderId="2" xfId="0" applyFont="1" applyFill="1" applyBorder="1" applyAlignment="1">
      <alignment horizontal="center"/>
    </xf>
    <xf numFmtId="0" fontId="8" fillId="5" borderId="2" xfId="0" applyFont="1" applyFill="1" applyBorder="1" applyAlignment="1">
      <alignment horizontal="center" vertical="center"/>
    </xf>
    <xf numFmtId="0" fontId="8" fillId="5" borderId="2" xfId="6" applyFont="1" applyFill="1" applyBorder="1" applyAlignment="1">
      <alignment horizontal="center" vertical="center"/>
    </xf>
    <xf numFmtId="0" fontId="0" fillId="0" borderId="1" xfId="0" applyBorder="1">
      <alignment vertical="center"/>
    </xf>
    <xf numFmtId="0" fontId="8" fillId="3" borderId="2" xfId="2" applyFont="1" applyFill="1" applyBorder="1" applyAlignment="1">
      <alignment horizontal="center" vertical="center"/>
    </xf>
    <xf numFmtId="177" fontId="8" fillId="3" borderId="2" xfId="2" applyNumberFormat="1" applyFont="1" applyFill="1" applyBorder="1" applyAlignment="1">
      <alignment horizontal="center" vertical="center"/>
    </xf>
    <xf numFmtId="180" fontId="8" fillId="5" borderId="0" xfId="0" applyNumberFormat="1" applyFont="1" applyFill="1" applyBorder="1" applyAlignment="1">
      <alignment horizontal="right" vertical="center"/>
    </xf>
    <xf numFmtId="177" fontId="8" fillId="5" borderId="0" xfId="0" applyNumberFormat="1" applyFont="1" applyFill="1" applyBorder="1" applyAlignment="1">
      <alignment horizontal="center" vertical="center"/>
    </xf>
    <xf numFmtId="181" fontId="8" fillId="5" borderId="0" xfId="0" applyNumberFormat="1" applyFont="1" applyFill="1" applyBorder="1" applyAlignment="1">
      <alignment horizontal="center" vertical="center"/>
    </xf>
    <xf numFmtId="0" fontId="9" fillId="5" borderId="0" xfId="0" applyFont="1" applyFill="1" applyBorder="1" applyAlignment="1">
      <alignment horizontal="center" vertical="center"/>
    </xf>
  </cellXfs>
  <cellStyles count="8">
    <cellStyle name="_ET_STYLE_NoName_00_" xfId="2"/>
    <cellStyle name="百分比" xfId="1" builtinId="5"/>
    <cellStyle name="百分比 2" xfId="7"/>
    <cellStyle name="常规" xfId="0" builtinId="0"/>
    <cellStyle name="常规 2" xfId="5"/>
    <cellStyle name="常规 3" xfId="6"/>
    <cellStyle name="常规_Sheet1" xfId="4"/>
    <cellStyle name="千位分隔 2" xfId="3"/>
  </cellStyles>
  <dxfs count="2">
    <dxf>
      <fill>
        <patternFill patternType="none">
          <fgColor indexed="64"/>
          <bgColor indexed="65"/>
        </patternFill>
      </fill>
    </dxf>
    <dxf>
      <fill>
        <patternFill patternType="solid">
          <fgColor rgb="FFFF000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AC215"/>
  <sheetViews>
    <sheetView tabSelected="1" workbookViewId="0">
      <pane ySplit="1" topLeftCell="A2" activePane="bottomLeft" state="frozen"/>
      <selection pane="bottomLeft"/>
    </sheetView>
  </sheetViews>
  <sheetFormatPr defaultRowHeight="13.5" x14ac:dyDescent="0.15"/>
  <cols>
    <col min="6" max="6" width="11.875" customWidth="1"/>
    <col min="7" max="7" width="12.125" customWidth="1"/>
  </cols>
  <sheetData>
    <row r="1" spans="1:29" ht="16.5" x14ac:dyDescent="0.35">
      <c r="A1" s="1"/>
      <c r="B1" s="1" t="s">
        <v>10</v>
      </c>
      <c r="C1" s="1" t="s">
        <v>11</v>
      </c>
      <c r="D1" s="1" t="s">
        <v>12</v>
      </c>
      <c r="E1" s="1" t="s">
        <v>13</v>
      </c>
      <c r="F1" s="2" t="s">
        <v>14</v>
      </c>
      <c r="G1" s="3" t="s">
        <v>15</v>
      </c>
      <c r="H1" s="4" t="s">
        <v>16</v>
      </c>
      <c r="I1" s="5" t="s">
        <v>17</v>
      </c>
      <c r="J1" s="6" t="s">
        <v>0</v>
      </c>
      <c r="K1" s="6" t="s">
        <v>18</v>
      </c>
      <c r="L1" s="7" t="s">
        <v>19</v>
      </c>
      <c r="M1" s="7" t="s">
        <v>20</v>
      </c>
      <c r="N1" s="7" t="s">
        <v>21</v>
      </c>
      <c r="O1" s="8" t="s">
        <v>22</v>
      </c>
      <c r="P1" s="9" t="s">
        <v>23</v>
      </c>
      <c r="Q1" s="8" t="s">
        <v>24</v>
      </c>
      <c r="R1" s="8" t="s">
        <v>25</v>
      </c>
      <c r="S1" s="8" t="s">
        <v>2</v>
      </c>
      <c r="T1" s="9" t="s">
        <v>23</v>
      </c>
      <c r="U1" s="8" t="s">
        <v>24</v>
      </c>
      <c r="V1" s="8" t="s">
        <v>25</v>
      </c>
      <c r="W1" s="8" t="s">
        <v>26</v>
      </c>
      <c r="X1" s="9" t="s">
        <v>23</v>
      </c>
      <c r="Y1" s="8" t="s">
        <v>24</v>
      </c>
      <c r="Z1" s="8" t="s">
        <v>25</v>
      </c>
      <c r="AA1" s="8" t="s">
        <v>1</v>
      </c>
      <c r="AB1" s="147"/>
      <c r="AC1" s="147"/>
    </row>
    <row r="2" spans="1:29" ht="16.5" x14ac:dyDescent="0.35">
      <c r="A2" s="10" t="s">
        <v>7</v>
      </c>
      <c r="B2" s="11" t="s">
        <v>27</v>
      </c>
      <c r="C2" s="12"/>
      <c r="D2" s="13" t="s">
        <v>7</v>
      </c>
      <c r="E2" s="14" t="s">
        <v>28</v>
      </c>
      <c r="F2" s="15">
        <v>43083</v>
      </c>
      <c r="G2" s="16">
        <v>649395</v>
      </c>
      <c r="H2" s="17">
        <v>0.3</v>
      </c>
      <c r="I2" s="16">
        <v>183791.03773584901</v>
      </c>
      <c r="J2" s="18" t="s">
        <v>6</v>
      </c>
      <c r="K2" s="12">
        <v>12</v>
      </c>
      <c r="L2" s="19" t="s">
        <v>9</v>
      </c>
      <c r="M2" s="12"/>
      <c r="N2" s="12" t="s">
        <v>29</v>
      </c>
      <c r="O2" s="8" t="s">
        <v>30</v>
      </c>
      <c r="P2" s="9">
        <v>1</v>
      </c>
      <c r="Q2" s="8">
        <v>649395</v>
      </c>
      <c r="R2" s="8">
        <v>183791.03773584901</v>
      </c>
      <c r="S2" s="8" t="s">
        <v>31</v>
      </c>
      <c r="T2" s="9">
        <v>0</v>
      </c>
      <c r="U2" s="8">
        <v>0</v>
      </c>
      <c r="V2" s="8">
        <v>0</v>
      </c>
      <c r="W2" s="8">
        <v>0</v>
      </c>
      <c r="X2" s="9">
        <v>0</v>
      </c>
      <c r="Y2" s="8">
        <v>0</v>
      </c>
      <c r="Z2" s="8">
        <v>0</v>
      </c>
      <c r="AA2" s="8" t="s">
        <v>32</v>
      </c>
      <c r="AB2" s="176"/>
      <c r="AC2" s="176"/>
    </row>
    <row r="3" spans="1:29" ht="16.5" x14ac:dyDescent="0.35">
      <c r="A3" s="10" t="s">
        <v>7</v>
      </c>
      <c r="B3" s="11" t="s">
        <v>27</v>
      </c>
      <c r="C3" s="12"/>
      <c r="D3" s="13" t="s">
        <v>7</v>
      </c>
      <c r="E3" s="14" t="s">
        <v>33</v>
      </c>
      <c r="F3" s="15">
        <v>43084</v>
      </c>
      <c r="G3" s="16">
        <v>54063</v>
      </c>
      <c r="H3" s="17">
        <v>0.3</v>
      </c>
      <c r="I3" s="16">
        <v>15300.8490566038</v>
      </c>
      <c r="J3" s="18" t="s">
        <v>6</v>
      </c>
      <c r="K3" s="12">
        <v>12</v>
      </c>
      <c r="L3" s="19" t="s">
        <v>9</v>
      </c>
      <c r="M3" s="12"/>
      <c r="N3" s="12" t="s">
        <v>29</v>
      </c>
      <c r="O3" s="8" t="s">
        <v>34</v>
      </c>
      <c r="P3" s="9">
        <v>1</v>
      </c>
      <c r="Q3" s="8">
        <v>54063</v>
      </c>
      <c r="R3" s="8">
        <v>15300.8490566038</v>
      </c>
      <c r="S3" s="8" t="s">
        <v>31</v>
      </c>
      <c r="T3" s="9">
        <v>0</v>
      </c>
      <c r="U3" s="8">
        <v>0</v>
      </c>
      <c r="V3" s="8">
        <v>0</v>
      </c>
      <c r="W3" s="8">
        <v>0</v>
      </c>
      <c r="X3" s="9">
        <v>0</v>
      </c>
      <c r="Y3" s="8">
        <v>0</v>
      </c>
      <c r="Z3" s="8">
        <v>0</v>
      </c>
      <c r="AA3" s="8" t="s">
        <v>35</v>
      </c>
      <c r="AB3" s="176"/>
      <c r="AC3" s="176"/>
    </row>
    <row r="4" spans="1:29" ht="49.5" x14ac:dyDescent="0.35">
      <c r="A4" s="10" t="s">
        <v>36</v>
      </c>
      <c r="B4" s="20" t="s">
        <v>37</v>
      </c>
      <c r="C4" s="20"/>
      <c r="D4" s="10" t="s">
        <v>36</v>
      </c>
      <c r="E4" s="14" t="s">
        <v>38</v>
      </c>
      <c r="F4" s="21">
        <v>43025</v>
      </c>
      <c r="G4" s="22">
        <v>80000</v>
      </c>
      <c r="H4" s="20">
        <v>0.75</v>
      </c>
      <c r="I4" s="23">
        <v>56603.773584905699</v>
      </c>
      <c r="J4" s="24" t="s">
        <v>4</v>
      </c>
      <c r="K4" s="12">
        <v>10</v>
      </c>
      <c r="L4" s="25" t="s">
        <v>39</v>
      </c>
      <c r="M4" s="158">
        <v>0.06</v>
      </c>
      <c r="N4" s="161" t="s">
        <v>40</v>
      </c>
      <c r="O4" s="8" t="s">
        <v>41</v>
      </c>
      <c r="P4" s="9">
        <v>1</v>
      </c>
      <c r="Q4" s="8">
        <v>80000</v>
      </c>
      <c r="R4" s="8">
        <v>56603.773584905699</v>
      </c>
      <c r="S4" s="8" t="s">
        <v>31</v>
      </c>
      <c r="T4" s="9">
        <v>0</v>
      </c>
      <c r="U4" s="8">
        <v>0</v>
      </c>
      <c r="V4" s="8">
        <v>0</v>
      </c>
      <c r="W4" s="8">
        <v>0</v>
      </c>
      <c r="X4" s="9">
        <v>0</v>
      </c>
      <c r="Y4" s="8">
        <v>0</v>
      </c>
      <c r="Z4" s="8">
        <v>0</v>
      </c>
      <c r="AA4" s="173" t="s">
        <v>5</v>
      </c>
      <c r="AB4" s="176"/>
    </row>
    <row r="5" spans="1:29" ht="33" x14ac:dyDescent="0.35">
      <c r="A5" s="10" t="s">
        <v>71</v>
      </c>
      <c r="B5" s="11" t="s">
        <v>85</v>
      </c>
      <c r="C5" s="12"/>
      <c r="D5" s="13" t="s">
        <v>7</v>
      </c>
      <c r="E5" s="14" t="s">
        <v>87</v>
      </c>
      <c r="F5" s="15">
        <v>43089</v>
      </c>
      <c r="G5" s="16">
        <v>180580.9</v>
      </c>
      <c r="H5" s="17">
        <v>0.38040000000000002</v>
      </c>
      <c r="I5" s="16">
        <v>61885.562486486488</v>
      </c>
      <c r="J5" s="18" t="s">
        <v>88</v>
      </c>
      <c r="K5" s="12">
        <v>12</v>
      </c>
      <c r="L5" s="19" t="s">
        <v>89</v>
      </c>
      <c r="M5" s="12"/>
      <c r="N5" s="12" t="s">
        <v>74</v>
      </c>
      <c r="O5" s="8" t="s">
        <v>88</v>
      </c>
      <c r="P5" s="9">
        <v>1</v>
      </c>
      <c r="Q5" s="8">
        <v>0</v>
      </c>
      <c r="R5" s="8">
        <v>0</v>
      </c>
      <c r="S5" s="8">
        <v>0</v>
      </c>
      <c r="T5" s="9">
        <v>0</v>
      </c>
      <c r="U5" s="8">
        <v>0</v>
      </c>
      <c r="V5" s="8">
        <v>0</v>
      </c>
      <c r="W5" s="8">
        <v>0</v>
      </c>
      <c r="X5" s="9">
        <v>0</v>
      </c>
      <c r="Y5" s="8">
        <v>0</v>
      </c>
      <c r="Z5" s="8">
        <v>0</v>
      </c>
      <c r="AA5" s="8" t="s">
        <v>32</v>
      </c>
      <c r="AB5" s="176"/>
      <c r="AC5" s="176"/>
    </row>
    <row r="6" spans="1:29" ht="33" x14ac:dyDescent="0.35">
      <c r="A6" s="10" t="s">
        <v>7</v>
      </c>
      <c r="B6" s="11" t="s">
        <v>85</v>
      </c>
      <c r="C6" s="12"/>
      <c r="D6" s="13" t="s">
        <v>7</v>
      </c>
      <c r="E6" s="14" t="s">
        <v>90</v>
      </c>
      <c r="F6" s="15">
        <v>43091</v>
      </c>
      <c r="G6" s="16">
        <v>840000</v>
      </c>
      <c r="H6" s="17">
        <v>7.7000000000000002E-3</v>
      </c>
      <c r="I6" s="16">
        <v>6101.8867924528295</v>
      </c>
      <c r="J6" s="18" t="s">
        <v>91</v>
      </c>
      <c r="K6" s="12">
        <v>12</v>
      </c>
      <c r="L6" s="19" t="s">
        <v>92</v>
      </c>
      <c r="M6" s="12"/>
      <c r="N6" s="12" t="s">
        <v>29</v>
      </c>
      <c r="O6" s="8" t="s">
        <v>93</v>
      </c>
      <c r="P6" s="9">
        <v>1</v>
      </c>
      <c r="Q6" s="8">
        <v>0</v>
      </c>
      <c r="R6" s="8">
        <v>0</v>
      </c>
      <c r="S6" s="8">
        <v>0</v>
      </c>
      <c r="T6" s="9">
        <v>0</v>
      </c>
      <c r="U6" s="8">
        <v>0</v>
      </c>
      <c r="V6" s="8">
        <v>0</v>
      </c>
      <c r="W6" s="8">
        <v>0</v>
      </c>
      <c r="X6" s="9">
        <v>0</v>
      </c>
      <c r="Y6" s="8">
        <v>0</v>
      </c>
      <c r="Z6" s="8">
        <v>0</v>
      </c>
      <c r="AA6" s="8" t="s">
        <v>35</v>
      </c>
      <c r="AB6" s="176"/>
      <c r="AC6" s="176"/>
    </row>
    <row r="7" spans="1:29" ht="16.5" x14ac:dyDescent="0.35">
      <c r="A7" s="10" t="s">
        <v>71</v>
      </c>
      <c r="B7" s="20" t="s">
        <v>94</v>
      </c>
      <c r="C7" s="20"/>
      <c r="D7" s="10" t="s">
        <v>7</v>
      </c>
      <c r="E7" s="14" t="s">
        <v>95</v>
      </c>
      <c r="F7" s="21">
        <v>43038</v>
      </c>
      <c r="G7" s="22">
        <v>5242333.33</v>
      </c>
      <c r="H7" s="20">
        <v>6.0299616621287987E-2</v>
      </c>
      <c r="I7" s="23">
        <v>270180.07692307694</v>
      </c>
      <c r="J7" s="24" t="s">
        <v>96</v>
      </c>
      <c r="K7" s="12">
        <v>10</v>
      </c>
      <c r="L7" s="25" t="s">
        <v>97</v>
      </c>
      <c r="M7" s="20">
        <v>0.17</v>
      </c>
      <c r="N7" s="26" t="s">
        <v>74</v>
      </c>
      <c r="O7" s="8" t="s">
        <v>96</v>
      </c>
      <c r="P7" s="9">
        <v>1</v>
      </c>
      <c r="Q7" s="8"/>
      <c r="R7" s="8"/>
      <c r="S7" s="8"/>
      <c r="T7" s="9"/>
      <c r="U7" s="8"/>
      <c r="V7" s="8"/>
      <c r="W7" s="8"/>
      <c r="X7" s="9"/>
      <c r="Y7" s="8"/>
      <c r="Z7" s="8"/>
      <c r="AA7" s="8"/>
      <c r="AB7" s="176"/>
      <c r="AC7" s="176"/>
    </row>
    <row r="8" spans="1:29" ht="33" x14ac:dyDescent="0.35">
      <c r="A8" s="10" t="s">
        <v>71</v>
      </c>
      <c r="B8" s="11" t="s">
        <v>98</v>
      </c>
      <c r="C8" s="12"/>
      <c r="D8" s="13" t="s">
        <v>7</v>
      </c>
      <c r="E8" s="14" t="s">
        <v>99</v>
      </c>
      <c r="F8" s="15">
        <v>43007</v>
      </c>
      <c r="G8" s="16">
        <v>-4886765</v>
      </c>
      <c r="H8" s="17">
        <v>0.10410074558526959</v>
      </c>
      <c r="I8" s="16">
        <v>-434799.89743589744</v>
      </c>
      <c r="J8" s="18" t="s">
        <v>100</v>
      </c>
      <c r="K8" s="12">
        <v>11</v>
      </c>
      <c r="L8" s="47" t="s">
        <v>101</v>
      </c>
      <c r="M8" s="12"/>
      <c r="N8" s="12" t="s">
        <v>74</v>
      </c>
      <c r="O8" s="8" t="s">
        <v>100</v>
      </c>
      <c r="P8" s="9">
        <v>1</v>
      </c>
      <c r="Q8" s="8"/>
      <c r="R8" s="8"/>
      <c r="S8" s="8"/>
      <c r="T8" s="9"/>
      <c r="U8" s="8"/>
      <c r="V8" s="8"/>
      <c r="W8" s="8"/>
      <c r="X8" s="9"/>
      <c r="Y8" s="8"/>
      <c r="Z8" s="8"/>
      <c r="AA8" s="8"/>
    </row>
    <row r="9" spans="1:29" ht="33" x14ac:dyDescent="0.35">
      <c r="A9" s="10" t="s">
        <v>71</v>
      </c>
      <c r="B9" s="11" t="s">
        <v>98</v>
      </c>
      <c r="C9" s="12"/>
      <c r="D9" s="13" t="s">
        <v>7</v>
      </c>
      <c r="E9" s="14" t="s">
        <v>99</v>
      </c>
      <c r="F9" s="15">
        <v>43007</v>
      </c>
      <c r="G9" s="16">
        <v>4886765</v>
      </c>
      <c r="H9" s="17">
        <v>0.15959999999999999</v>
      </c>
      <c r="I9" s="16">
        <v>666604.8666666667</v>
      </c>
      <c r="J9" s="18" t="s">
        <v>100</v>
      </c>
      <c r="K9" s="12">
        <v>11</v>
      </c>
      <c r="L9" s="47" t="s">
        <v>101</v>
      </c>
      <c r="M9" s="12"/>
      <c r="N9" s="12" t="s">
        <v>74</v>
      </c>
      <c r="O9" s="8" t="s">
        <v>88</v>
      </c>
      <c r="P9" s="9">
        <v>1</v>
      </c>
      <c r="Q9" s="8"/>
      <c r="R9" s="8"/>
      <c r="S9" s="8"/>
      <c r="T9" s="9"/>
      <c r="U9" s="8"/>
      <c r="V9" s="8"/>
      <c r="W9" s="8"/>
      <c r="X9" s="9"/>
      <c r="Y9" s="8"/>
      <c r="Z9" s="8"/>
      <c r="AA9" s="8"/>
    </row>
    <row r="10" spans="1:29" ht="33" x14ac:dyDescent="0.35">
      <c r="A10" s="10" t="s">
        <v>71</v>
      </c>
      <c r="B10" s="11" t="s">
        <v>123</v>
      </c>
      <c r="C10" s="12"/>
      <c r="D10" s="13" t="s">
        <v>7</v>
      </c>
      <c r="E10" s="14" t="s">
        <v>128</v>
      </c>
      <c r="F10" s="15">
        <v>43076</v>
      </c>
      <c r="G10" s="16">
        <v>6227000</v>
      </c>
      <c r="H10" s="17">
        <v>8.409999999999998E-2</v>
      </c>
      <c r="I10" s="16">
        <v>447598.88888888882</v>
      </c>
      <c r="J10" s="18" t="s">
        <v>129</v>
      </c>
      <c r="K10" s="12">
        <v>12</v>
      </c>
      <c r="L10" s="19" t="s">
        <v>130</v>
      </c>
      <c r="M10" s="12"/>
      <c r="N10" s="51" t="s">
        <v>131</v>
      </c>
      <c r="O10" s="52" t="s">
        <v>129</v>
      </c>
      <c r="P10" s="9">
        <v>1</v>
      </c>
      <c r="Q10" s="168">
        <v>6227000</v>
      </c>
      <c r="R10" s="168">
        <v>447598.88888888882</v>
      </c>
      <c r="S10" s="167"/>
      <c r="T10" s="172"/>
      <c r="U10" s="167"/>
      <c r="V10" s="167"/>
      <c r="W10" s="167"/>
      <c r="X10" s="172"/>
      <c r="Y10" s="167"/>
      <c r="Z10" s="167"/>
      <c r="AA10" s="167" t="s">
        <v>32</v>
      </c>
    </row>
    <row r="11" spans="1:29" ht="33" x14ac:dyDescent="0.35">
      <c r="A11" s="10" t="s">
        <v>71</v>
      </c>
      <c r="B11" s="11" t="s">
        <v>123</v>
      </c>
      <c r="C11" s="12"/>
      <c r="D11" s="13" t="s">
        <v>7</v>
      </c>
      <c r="E11" s="14" t="s">
        <v>128</v>
      </c>
      <c r="F11" s="15">
        <v>43076</v>
      </c>
      <c r="G11" s="16">
        <v>1011000</v>
      </c>
      <c r="H11" s="17">
        <v>1</v>
      </c>
      <c r="I11" s="16">
        <v>953773.58490566036</v>
      </c>
      <c r="J11" s="18" t="s">
        <v>129</v>
      </c>
      <c r="K11" s="12">
        <v>12</v>
      </c>
      <c r="L11" s="19" t="s">
        <v>130</v>
      </c>
      <c r="M11" s="12"/>
      <c r="N11" s="51" t="s">
        <v>131</v>
      </c>
      <c r="O11" s="52" t="s">
        <v>129</v>
      </c>
      <c r="P11" s="9">
        <v>1</v>
      </c>
      <c r="Q11" s="53">
        <v>1011000</v>
      </c>
      <c r="R11" s="53">
        <v>953773.58490566036</v>
      </c>
      <c r="S11" s="8"/>
      <c r="T11" s="9"/>
      <c r="U11" s="8"/>
      <c r="V11" s="8"/>
      <c r="W11" s="8"/>
      <c r="X11" s="9"/>
      <c r="Y11" s="8"/>
      <c r="Z11" s="8"/>
      <c r="AA11" s="8" t="s">
        <v>32</v>
      </c>
      <c r="AB11" s="176"/>
      <c r="AC11" s="176"/>
    </row>
    <row r="12" spans="1:29" ht="33" x14ac:dyDescent="0.35">
      <c r="A12" s="10" t="s">
        <v>7</v>
      </c>
      <c r="B12" s="11" t="s">
        <v>123</v>
      </c>
      <c r="C12" s="12"/>
      <c r="D12" s="13" t="s">
        <v>7</v>
      </c>
      <c r="E12" s="14" t="s">
        <v>132</v>
      </c>
      <c r="F12" s="15">
        <v>43078</v>
      </c>
      <c r="G12" s="16">
        <v>-7500000</v>
      </c>
      <c r="H12" s="17">
        <v>1.0000000002666669</v>
      </c>
      <c r="I12" s="16">
        <v>-7075471.7000000011</v>
      </c>
      <c r="J12" s="18" t="s">
        <v>124</v>
      </c>
      <c r="K12" s="12">
        <v>12</v>
      </c>
      <c r="L12" s="19" t="s">
        <v>126</v>
      </c>
      <c r="M12" s="12"/>
      <c r="N12" s="51" t="s">
        <v>29</v>
      </c>
      <c r="O12" s="52" t="s">
        <v>124</v>
      </c>
      <c r="P12" s="9">
        <v>1</v>
      </c>
      <c r="Q12" s="54">
        <v>-7500000</v>
      </c>
      <c r="R12" s="54">
        <v>-7075471.7000000011</v>
      </c>
      <c r="S12" s="8"/>
      <c r="T12" s="9"/>
      <c r="U12" s="8"/>
      <c r="V12" s="8"/>
      <c r="W12" s="8"/>
      <c r="X12" s="9"/>
      <c r="Y12" s="8"/>
      <c r="Z12" s="8"/>
      <c r="AA12" s="8">
        <v>0</v>
      </c>
      <c r="AB12" s="176"/>
      <c r="AC12" s="176"/>
    </row>
    <row r="13" spans="1:29" ht="33" x14ac:dyDescent="0.35">
      <c r="A13" s="10" t="s">
        <v>7</v>
      </c>
      <c r="B13" s="11" t="s">
        <v>123</v>
      </c>
      <c r="C13" s="12"/>
      <c r="D13" s="13" t="s">
        <v>7</v>
      </c>
      <c r="E13" s="14" t="s">
        <v>132</v>
      </c>
      <c r="F13" s="15">
        <v>43078</v>
      </c>
      <c r="G13" s="16">
        <v>7500000</v>
      </c>
      <c r="H13" s="17">
        <v>0.9667</v>
      </c>
      <c r="I13" s="16">
        <v>6839858.4905660367</v>
      </c>
      <c r="J13" s="18" t="s">
        <v>124</v>
      </c>
      <c r="K13" s="12">
        <v>12</v>
      </c>
      <c r="L13" s="19" t="s">
        <v>126</v>
      </c>
      <c r="M13" s="12"/>
      <c r="N13" s="51" t="s">
        <v>29</v>
      </c>
      <c r="O13" s="52" t="s">
        <v>124</v>
      </c>
      <c r="P13" s="9">
        <v>1</v>
      </c>
      <c r="Q13" s="53">
        <v>7500000</v>
      </c>
      <c r="R13" s="53">
        <v>6839858.4905660367</v>
      </c>
      <c r="S13" s="8"/>
      <c r="T13" s="9"/>
      <c r="U13" s="8"/>
      <c r="V13" s="8"/>
      <c r="W13" s="8"/>
      <c r="X13" s="9"/>
      <c r="Y13" s="8"/>
      <c r="Z13" s="8"/>
      <c r="AA13" s="8">
        <v>0</v>
      </c>
      <c r="AB13" s="176"/>
      <c r="AC13" s="176"/>
    </row>
    <row r="14" spans="1:29" ht="33" x14ac:dyDescent="0.35">
      <c r="A14" s="10" t="s">
        <v>71</v>
      </c>
      <c r="B14" s="11" t="s">
        <v>123</v>
      </c>
      <c r="C14" s="12"/>
      <c r="D14" s="13" t="s">
        <v>7</v>
      </c>
      <c r="E14" s="14" t="s">
        <v>133</v>
      </c>
      <c r="F14" s="15">
        <v>43081</v>
      </c>
      <c r="G14" s="16">
        <v>20406400</v>
      </c>
      <c r="H14" s="17">
        <v>0.06</v>
      </c>
      <c r="I14" s="16">
        <v>1046482.0512820514</v>
      </c>
      <c r="J14" s="18" t="s">
        <v>134</v>
      </c>
      <c r="K14" s="12">
        <v>12</v>
      </c>
      <c r="L14" s="19" t="s">
        <v>135</v>
      </c>
      <c r="M14" s="12"/>
      <c r="N14" s="51" t="s">
        <v>74</v>
      </c>
      <c r="O14" s="52" t="s">
        <v>134</v>
      </c>
      <c r="P14" s="9">
        <v>1</v>
      </c>
      <c r="Q14" s="53">
        <v>20406400</v>
      </c>
      <c r="R14" s="53">
        <v>1046482.0512820514</v>
      </c>
      <c r="S14" s="8"/>
      <c r="T14" s="9"/>
      <c r="U14" s="8"/>
      <c r="V14" s="8"/>
      <c r="W14" s="8"/>
      <c r="X14" s="9"/>
      <c r="Y14" s="8"/>
      <c r="Z14" s="8"/>
      <c r="AA14" s="8" t="s">
        <v>35</v>
      </c>
      <c r="AB14" s="176"/>
      <c r="AC14" s="176"/>
    </row>
    <row r="15" spans="1:29" ht="33" x14ac:dyDescent="0.35">
      <c r="A15" s="10" t="s">
        <v>71</v>
      </c>
      <c r="B15" s="11" t="s">
        <v>123</v>
      </c>
      <c r="C15" s="12"/>
      <c r="D15" s="13" t="s">
        <v>7</v>
      </c>
      <c r="E15" s="14" t="s">
        <v>136</v>
      </c>
      <c r="F15" s="15">
        <v>43087</v>
      </c>
      <c r="G15" s="16">
        <v>2812500</v>
      </c>
      <c r="H15" s="17">
        <v>5.9199999999999996E-2</v>
      </c>
      <c r="I15" s="16">
        <v>142307.69230769231</v>
      </c>
      <c r="J15" s="18" t="s">
        <v>137</v>
      </c>
      <c r="K15" s="12">
        <v>12</v>
      </c>
      <c r="L15" s="19" t="s">
        <v>126</v>
      </c>
      <c r="M15" s="12"/>
      <c r="N15" s="51" t="s">
        <v>74</v>
      </c>
      <c r="O15" s="52" t="s">
        <v>124</v>
      </c>
      <c r="P15" s="9">
        <v>1</v>
      </c>
      <c r="Q15" s="53">
        <v>2812500</v>
      </c>
      <c r="R15" s="53">
        <v>142307.69230769231</v>
      </c>
      <c r="S15" s="8"/>
      <c r="T15" s="9"/>
      <c r="U15" s="8"/>
      <c r="V15" s="8"/>
      <c r="W15" s="8"/>
      <c r="X15" s="9"/>
      <c r="Y15" s="8"/>
      <c r="Z15" s="8"/>
      <c r="AA15" s="8" t="s">
        <v>35</v>
      </c>
      <c r="AB15" s="176"/>
      <c r="AC15" s="176"/>
    </row>
    <row r="16" spans="1:29" ht="33" x14ac:dyDescent="0.35">
      <c r="A16" s="10" t="s">
        <v>71</v>
      </c>
      <c r="B16" s="11" t="s">
        <v>123</v>
      </c>
      <c r="C16" s="12"/>
      <c r="D16" s="13" t="s">
        <v>7</v>
      </c>
      <c r="E16" s="14" t="s">
        <v>136</v>
      </c>
      <c r="F16" s="15">
        <v>43087</v>
      </c>
      <c r="G16" s="16">
        <v>170000</v>
      </c>
      <c r="H16" s="17">
        <v>8.8200000000000001E-2</v>
      </c>
      <c r="I16" s="16">
        <v>14145.283018867924</v>
      </c>
      <c r="J16" s="18" t="s">
        <v>137</v>
      </c>
      <c r="K16" s="12">
        <v>12</v>
      </c>
      <c r="L16" s="19" t="s">
        <v>126</v>
      </c>
      <c r="M16" s="12"/>
      <c r="N16" s="51" t="s">
        <v>74</v>
      </c>
      <c r="O16" s="52" t="s">
        <v>124</v>
      </c>
      <c r="P16" s="9">
        <v>1</v>
      </c>
      <c r="Q16" s="53">
        <v>170000</v>
      </c>
      <c r="R16" s="53">
        <v>14145.283018867924</v>
      </c>
      <c r="S16" s="8"/>
      <c r="T16" s="9"/>
      <c r="U16" s="8"/>
      <c r="V16" s="8"/>
      <c r="W16" s="8"/>
      <c r="X16" s="9"/>
      <c r="Y16" s="8"/>
      <c r="Z16" s="8"/>
      <c r="AA16" s="8" t="s">
        <v>35</v>
      </c>
      <c r="AB16" s="176"/>
      <c r="AC16" s="176"/>
    </row>
    <row r="17" spans="1:29" ht="33" x14ac:dyDescent="0.35">
      <c r="A17" s="10" t="s">
        <v>7</v>
      </c>
      <c r="B17" s="11" t="s">
        <v>123</v>
      </c>
      <c r="C17" s="12"/>
      <c r="D17" s="13" t="s">
        <v>7</v>
      </c>
      <c r="E17" s="14" t="s">
        <v>138</v>
      </c>
      <c r="F17" s="15">
        <v>43091</v>
      </c>
      <c r="G17" s="16">
        <v>991610</v>
      </c>
      <c r="H17" s="17">
        <v>3.8600000000000002E-2</v>
      </c>
      <c r="I17" s="16">
        <v>36109.571698113206</v>
      </c>
      <c r="J17" s="18" t="s">
        <v>139</v>
      </c>
      <c r="K17" s="12">
        <v>12</v>
      </c>
      <c r="L17" s="19" t="s">
        <v>140</v>
      </c>
      <c r="M17" s="12"/>
      <c r="N17" s="51" t="s">
        <v>29</v>
      </c>
      <c r="O17" s="52" t="s">
        <v>139</v>
      </c>
      <c r="P17" s="9">
        <v>1</v>
      </c>
      <c r="Q17" s="53">
        <v>991610</v>
      </c>
      <c r="R17" s="53">
        <v>36109.571698113206</v>
      </c>
      <c r="S17" s="8"/>
      <c r="T17" s="9"/>
      <c r="U17" s="8"/>
      <c r="V17" s="8"/>
      <c r="W17" s="8"/>
      <c r="X17" s="9"/>
      <c r="Y17" s="8"/>
      <c r="Z17" s="8"/>
      <c r="AA17" s="8">
        <v>0</v>
      </c>
      <c r="AB17" s="176"/>
      <c r="AC17" s="176"/>
    </row>
    <row r="18" spans="1:29" ht="33" x14ac:dyDescent="0.35">
      <c r="A18" s="10" t="s">
        <v>71</v>
      </c>
      <c r="B18" s="11" t="s">
        <v>123</v>
      </c>
      <c r="C18" s="12"/>
      <c r="D18" s="13" t="s">
        <v>7</v>
      </c>
      <c r="E18" s="14" t="s">
        <v>141</v>
      </c>
      <c r="F18" s="15">
        <v>43097</v>
      </c>
      <c r="G18" s="16">
        <v>1498496</v>
      </c>
      <c r="H18" s="17">
        <v>0.03</v>
      </c>
      <c r="I18" s="16">
        <v>38422.974358974359</v>
      </c>
      <c r="J18" s="18" t="s">
        <v>142</v>
      </c>
      <c r="K18" s="12">
        <v>12</v>
      </c>
      <c r="L18" s="19" t="s">
        <v>143</v>
      </c>
      <c r="M18" s="12"/>
      <c r="N18" s="51" t="s">
        <v>74</v>
      </c>
      <c r="O18" s="52" t="s">
        <v>142</v>
      </c>
      <c r="P18" s="9">
        <v>1</v>
      </c>
      <c r="Q18" s="53">
        <v>1498496</v>
      </c>
      <c r="R18" s="53">
        <v>38422.974358974359</v>
      </c>
      <c r="S18" s="8"/>
      <c r="T18" s="9"/>
      <c r="U18" s="8"/>
      <c r="V18" s="8"/>
      <c r="W18" s="8"/>
      <c r="X18" s="9"/>
      <c r="Y18" s="8"/>
      <c r="Z18" s="8"/>
      <c r="AA18" s="8" t="s">
        <v>35</v>
      </c>
      <c r="AB18" s="176"/>
      <c r="AC18" s="176"/>
    </row>
    <row r="19" spans="1:29" ht="33" x14ac:dyDescent="0.35">
      <c r="A19" s="10" t="s">
        <v>7</v>
      </c>
      <c r="B19" s="11" t="s">
        <v>123</v>
      </c>
      <c r="C19" s="12"/>
      <c r="D19" s="13" t="s">
        <v>7</v>
      </c>
      <c r="E19" s="14" t="s">
        <v>144</v>
      </c>
      <c r="F19" s="15">
        <v>43097</v>
      </c>
      <c r="G19" s="16">
        <v>1179.74</v>
      </c>
      <c r="H19" s="17">
        <v>1</v>
      </c>
      <c r="I19" s="16">
        <v>1112.9622641509434</v>
      </c>
      <c r="J19" s="18" t="s">
        <v>145</v>
      </c>
      <c r="K19" s="12">
        <v>12</v>
      </c>
      <c r="L19" s="19" t="s">
        <v>146</v>
      </c>
      <c r="M19" s="12"/>
      <c r="N19" s="51" t="s">
        <v>29</v>
      </c>
      <c r="O19" s="52" t="s">
        <v>145</v>
      </c>
      <c r="P19" s="9">
        <v>1</v>
      </c>
      <c r="Q19" s="53">
        <v>1179.74</v>
      </c>
      <c r="R19" s="53">
        <v>1112.9622641509434</v>
      </c>
      <c r="S19" s="8"/>
      <c r="T19" s="9"/>
      <c r="U19" s="8"/>
      <c r="V19" s="8"/>
      <c r="W19" s="8"/>
      <c r="X19" s="9"/>
      <c r="Y19" s="8"/>
      <c r="Z19" s="8"/>
      <c r="AA19" s="8" t="s">
        <v>35</v>
      </c>
      <c r="AB19" s="176"/>
      <c r="AC19" s="176"/>
    </row>
    <row r="20" spans="1:29" ht="49.5" x14ac:dyDescent="0.35">
      <c r="A20" s="10" t="s">
        <v>7</v>
      </c>
      <c r="B20" s="20" t="s">
        <v>147</v>
      </c>
      <c r="C20" s="20"/>
      <c r="D20" s="10" t="s">
        <v>7</v>
      </c>
      <c r="E20" s="14" t="s">
        <v>148</v>
      </c>
      <c r="F20" s="21">
        <v>43031</v>
      </c>
      <c r="G20" s="22">
        <v>9162.7000000000007</v>
      </c>
      <c r="H20" s="20">
        <v>1</v>
      </c>
      <c r="I20" s="23">
        <v>8644.0566037735844</v>
      </c>
      <c r="J20" s="24" t="s">
        <v>145</v>
      </c>
      <c r="K20" s="12">
        <v>10</v>
      </c>
      <c r="L20" s="25" t="s">
        <v>146</v>
      </c>
      <c r="M20" s="20">
        <v>0.06</v>
      </c>
      <c r="N20" s="55" t="s">
        <v>29</v>
      </c>
      <c r="O20" s="56" t="s">
        <v>145</v>
      </c>
      <c r="P20" s="9">
        <v>1</v>
      </c>
      <c r="Q20" s="57">
        <v>9162.7000000000007</v>
      </c>
      <c r="R20" s="58">
        <v>8644.0566037735844</v>
      </c>
      <c r="S20" s="8"/>
      <c r="T20" s="9"/>
      <c r="U20" s="8"/>
      <c r="V20" s="8"/>
      <c r="W20" s="8"/>
      <c r="X20" s="9"/>
      <c r="Y20" s="8"/>
      <c r="Z20" s="8"/>
      <c r="AA20" s="8"/>
      <c r="AB20" s="176"/>
      <c r="AC20" s="176"/>
    </row>
    <row r="21" spans="1:29" ht="33" x14ac:dyDescent="0.35">
      <c r="A21" s="10" t="s">
        <v>102</v>
      </c>
      <c r="B21" s="11" t="s">
        <v>127</v>
      </c>
      <c r="C21" s="12"/>
      <c r="D21" s="13" t="s">
        <v>102</v>
      </c>
      <c r="E21" s="14" t="s">
        <v>149</v>
      </c>
      <c r="F21" s="15">
        <v>43067</v>
      </c>
      <c r="G21" s="16">
        <v>10000</v>
      </c>
      <c r="H21" s="17">
        <v>1</v>
      </c>
      <c r="I21" s="16">
        <v>9433.9622641509432</v>
      </c>
      <c r="J21" s="18" t="s">
        <v>125</v>
      </c>
      <c r="K21" s="12">
        <v>11</v>
      </c>
      <c r="L21" s="47" t="s">
        <v>150</v>
      </c>
      <c r="M21" s="12"/>
      <c r="N21" s="51" t="s">
        <v>105</v>
      </c>
      <c r="O21" s="52" t="s">
        <v>125</v>
      </c>
      <c r="P21" s="9">
        <v>1</v>
      </c>
      <c r="Q21" s="53">
        <v>10000</v>
      </c>
      <c r="R21" s="53">
        <v>9433.9622641509432</v>
      </c>
      <c r="S21" s="8"/>
      <c r="T21" s="9"/>
      <c r="U21" s="8"/>
      <c r="V21" s="8"/>
      <c r="W21" s="8"/>
      <c r="X21" s="9"/>
      <c r="Y21" s="8"/>
      <c r="Z21" s="8"/>
      <c r="AA21" s="8"/>
      <c r="AB21" s="176"/>
      <c r="AC21" s="176"/>
    </row>
    <row r="22" spans="1:29" ht="49.5" x14ac:dyDescent="0.35">
      <c r="A22" s="10" t="s">
        <v>7</v>
      </c>
      <c r="B22" s="11" t="s">
        <v>127</v>
      </c>
      <c r="C22" s="12"/>
      <c r="D22" s="13" t="s">
        <v>7</v>
      </c>
      <c r="E22" s="14" t="s">
        <v>151</v>
      </c>
      <c r="F22" s="15">
        <v>43068</v>
      </c>
      <c r="G22" s="16">
        <v>42687.199999999997</v>
      </c>
      <c r="H22" s="17">
        <v>1</v>
      </c>
      <c r="I22" s="16">
        <v>40270.943396226408</v>
      </c>
      <c r="J22" s="18" t="s">
        <v>152</v>
      </c>
      <c r="K22" s="12">
        <v>11</v>
      </c>
      <c r="L22" s="47" t="s">
        <v>153</v>
      </c>
      <c r="M22" s="12"/>
      <c r="N22" s="51" t="s">
        <v>29</v>
      </c>
      <c r="O22" s="52" t="s">
        <v>152</v>
      </c>
      <c r="P22" s="9">
        <v>1</v>
      </c>
      <c r="Q22" s="53">
        <v>42687.199999999997</v>
      </c>
      <c r="R22" s="53">
        <v>40270.943396226408</v>
      </c>
      <c r="S22" s="8"/>
      <c r="T22" s="9"/>
      <c r="U22" s="8"/>
      <c r="V22" s="8"/>
      <c r="W22" s="8"/>
      <c r="X22" s="9"/>
      <c r="Y22" s="8"/>
      <c r="Z22" s="8"/>
      <c r="AA22" s="8"/>
      <c r="AB22" s="176"/>
      <c r="AC22" s="176"/>
    </row>
    <row r="23" spans="1:29" ht="16.5" x14ac:dyDescent="0.35">
      <c r="A23" s="10" t="s">
        <v>36</v>
      </c>
      <c r="B23" s="11" t="s">
        <v>176</v>
      </c>
      <c r="C23" s="12"/>
      <c r="D23" s="13" t="s">
        <v>36</v>
      </c>
      <c r="E23" s="14" t="s">
        <v>177</v>
      </c>
      <c r="F23" s="15">
        <v>43056</v>
      </c>
      <c r="G23" s="16">
        <v>-1670200</v>
      </c>
      <c r="H23" s="17">
        <v>9.7099999999999992E-2</v>
      </c>
      <c r="I23" s="16">
        <v>-152996.62264150943</v>
      </c>
      <c r="J23" s="18" t="s">
        <v>174</v>
      </c>
      <c r="K23" s="12">
        <v>12</v>
      </c>
      <c r="L23" s="19" t="s">
        <v>178</v>
      </c>
      <c r="M23" s="12"/>
      <c r="N23" s="12" t="s">
        <v>40</v>
      </c>
      <c r="O23" s="18" t="s">
        <v>174</v>
      </c>
      <c r="P23" s="9">
        <v>1</v>
      </c>
      <c r="Q23" s="8">
        <v>0</v>
      </c>
      <c r="R23" s="8">
        <v>0</v>
      </c>
      <c r="S23" s="8">
        <v>0</v>
      </c>
      <c r="T23" s="9">
        <v>0</v>
      </c>
      <c r="U23" s="8">
        <v>0</v>
      </c>
      <c r="V23" s="8">
        <v>0</v>
      </c>
      <c r="W23" s="8">
        <v>0</v>
      </c>
      <c r="X23" s="9">
        <v>0</v>
      </c>
      <c r="Y23" s="8">
        <v>0</v>
      </c>
      <c r="Z23" s="8">
        <v>0</v>
      </c>
      <c r="AA23" s="8" t="s">
        <v>35</v>
      </c>
    </row>
    <row r="24" spans="1:29" ht="16.5" x14ac:dyDescent="0.35">
      <c r="A24" s="10" t="s">
        <v>36</v>
      </c>
      <c r="B24" s="11" t="s">
        <v>176</v>
      </c>
      <c r="C24" s="12"/>
      <c r="D24" s="13" t="s">
        <v>36</v>
      </c>
      <c r="E24" s="14" t="s">
        <v>177</v>
      </c>
      <c r="F24" s="15">
        <v>43056</v>
      </c>
      <c r="G24" s="16">
        <v>1670200</v>
      </c>
      <c r="H24" s="17">
        <v>0.1171</v>
      </c>
      <c r="I24" s="16">
        <v>184509.83018867925</v>
      </c>
      <c r="J24" s="18" t="s">
        <v>174</v>
      </c>
      <c r="K24" s="12">
        <v>12</v>
      </c>
      <c r="L24" s="19" t="s">
        <v>178</v>
      </c>
      <c r="M24" s="12"/>
      <c r="N24" s="12" t="s">
        <v>40</v>
      </c>
      <c r="O24" s="18" t="s">
        <v>174</v>
      </c>
      <c r="P24" s="9">
        <v>1</v>
      </c>
      <c r="Q24" s="8">
        <v>0</v>
      </c>
      <c r="R24" s="8">
        <v>0</v>
      </c>
      <c r="S24" s="8">
        <v>0</v>
      </c>
      <c r="T24" s="9">
        <v>0</v>
      </c>
      <c r="U24" s="8">
        <v>0</v>
      </c>
      <c r="V24" s="8">
        <v>0</v>
      </c>
      <c r="W24" s="8">
        <v>0</v>
      </c>
      <c r="X24" s="9">
        <v>0</v>
      </c>
      <c r="Y24" s="8">
        <v>0</v>
      </c>
      <c r="Z24" s="8">
        <v>0</v>
      </c>
      <c r="AA24" s="8" t="s">
        <v>35</v>
      </c>
    </row>
    <row r="25" spans="1:29" ht="16.5" x14ac:dyDescent="0.35">
      <c r="A25" s="10" t="s">
        <v>7</v>
      </c>
      <c r="B25" s="11" t="s">
        <v>176</v>
      </c>
      <c r="C25" s="12"/>
      <c r="D25" s="13" t="s">
        <v>7</v>
      </c>
      <c r="E25" s="14" t="s">
        <v>179</v>
      </c>
      <c r="F25" s="15">
        <v>43096</v>
      </c>
      <c r="G25" s="16">
        <v>72000</v>
      </c>
      <c r="H25" s="17">
        <v>1</v>
      </c>
      <c r="I25" s="16">
        <v>67924.528301886792</v>
      </c>
      <c r="J25" s="18" t="s">
        <v>180</v>
      </c>
      <c r="K25" s="12">
        <v>12</v>
      </c>
      <c r="L25" s="19" t="s">
        <v>181</v>
      </c>
      <c r="M25" s="12"/>
      <c r="N25" s="12" t="s">
        <v>29</v>
      </c>
      <c r="O25" s="18" t="s">
        <v>180</v>
      </c>
      <c r="P25" s="9">
        <v>1</v>
      </c>
      <c r="Q25" s="8">
        <v>0</v>
      </c>
      <c r="R25" s="8">
        <v>0</v>
      </c>
      <c r="S25" s="8">
        <v>0</v>
      </c>
      <c r="T25" s="9">
        <v>0</v>
      </c>
      <c r="U25" s="8">
        <v>0</v>
      </c>
      <c r="V25" s="8">
        <v>0</v>
      </c>
      <c r="W25" s="8">
        <v>0</v>
      </c>
      <c r="X25" s="9">
        <v>0</v>
      </c>
      <c r="Y25" s="8">
        <v>0</v>
      </c>
      <c r="Z25" s="8">
        <v>0</v>
      </c>
      <c r="AA25" s="8" t="s">
        <v>35</v>
      </c>
    </row>
    <row r="26" spans="1:29" ht="49.5" x14ac:dyDescent="0.35">
      <c r="A26" s="10" t="s">
        <v>36</v>
      </c>
      <c r="B26" s="20" t="s">
        <v>182</v>
      </c>
      <c r="C26" s="20"/>
      <c r="D26" s="10" t="s">
        <v>36</v>
      </c>
      <c r="E26" s="14" t="s">
        <v>183</v>
      </c>
      <c r="F26" s="21">
        <v>0</v>
      </c>
      <c r="G26" s="22">
        <v>1053500</v>
      </c>
      <c r="H26" s="20">
        <v>0.15</v>
      </c>
      <c r="I26" s="23">
        <v>149080.18867924527</v>
      </c>
      <c r="J26" s="24" t="s">
        <v>174</v>
      </c>
      <c r="K26" s="12">
        <v>10</v>
      </c>
      <c r="L26" s="25" t="s">
        <v>184</v>
      </c>
      <c r="M26" s="20">
        <v>0.06</v>
      </c>
      <c r="N26" s="26" t="s">
        <v>40</v>
      </c>
      <c r="O26" s="24" t="s">
        <v>174</v>
      </c>
      <c r="P26" s="9">
        <v>1</v>
      </c>
      <c r="Q26" s="8"/>
      <c r="R26" s="8"/>
      <c r="S26" s="8"/>
      <c r="T26" s="9"/>
      <c r="U26" s="8"/>
      <c r="V26" s="8"/>
      <c r="W26" s="8"/>
      <c r="X26" s="9"/>
      <c r="Y26" s="8"/>
      <c r="Z26" s="8"/>
      <c r="AA26" s="8"/>
    </row>
    <row r="27" spans="1:29" ht="49.5" x14ac:dyDescent="0.35">
      <c r="A27" s="10" t="s">
        <v>36</v>
      </c>
      <c r="B27" s="20" t="s">
        <v>182</v>
      </c>
      <c r="C27" s="20"/>
      <c r="D27" s="10" t="s">
        <v>36</v>
      </c>
      <c r="E27" s="14" t="s">
        <v>185</v>
      </c>
      <c r="F27" s="21">
        <v>0</v>
      </c>
      <c r="G27" s="22">
        <v>2293000</v>
      </c>
      <c r="H27" s="20">
        <v>0.05</v>
      </c>
      <c r="I27" s="23">
        <v>97991.452991452999</v>
      </c>
      <c r="J27" s="24" t="s">
        <v>174</v>
      </c>
      <c r="K27" s="12">
        <v>10</v>
      </c>
      <c r="L27" s="25" t="s">
        <v>184</v>
      </c>
      <c r="M27" s="20">
        <v>0.17</v>
      </c>
      <c r="N27" s="26" t="s">
        <v>40</v>
      </c>
      <c r="O27" s="24" t="s">
        <v>174</v>
      </c>
      <c r="P27" s="9">
        <v>1</v>
      </c>
      <c r="Q27" s="8"/>
      <c r="R27" s="8"/>
      <c r="S27" s="8"/>
      <c r="T27" s="9"/>
      <c r="U27" s="8"/>
      <c r="V27" s="8"/>
      <c r="W27" s="8"/>
      <c r="X27" s="9"/>
      <c r="Y27" s="8"/>
      <c r="Z27" s="8"/>
      <c r="AA27" s="8"/>
    </row>
    <row r="28" spans="1:29" ht="49.5" x14ac:dyDescent="0.35">
      <c r="A28" s="10" t="s">
        <v>7</v>
      </c>
      <c r="B28" s="11" t="s">
        <v>173</v>
      </c>
      <c r="C28" s="12"/>
      <c r="D28" s="13" t="s">
        <v>7</v>
      </c>
      <c r="E28" s="14" t="s">
        <v>186</v>
      </c>
      <c r="F28" s="15">
        <v>43053</v>
      </c>
      <c r="G28" s="16">
        <v>69062</v>
      </c>
      <c r="H28" s="17">
        <v>4.4299999999999999E-2</v>
      </c>
      <c r="I28" s="16">
        <v>2886.2703773584904</v>
      </c>
      <c r="J28" s="18" t="s">
        <v>180</v>
      </c>
      <c r="K28" s="12">
        <v>11</v>
      </c>
      <c r="L28" s="47" t="s">
        <v>187</v>
      </c>
      <c r="M28" s="12"/>
      <c r="N28" s="12" t="s">
        <v>29</v>
      </c>
      <c r="O28" s="18" t="s">
        <v>180</v>
      </c>
      <c r="P28" s="9">
        <v>1</v>
      </c>
      <c r="Q28" s="8"/>
      <c r="R28" s="8"/>
      <c r="S28" s="8"/>
      <c r="T28" s="9"/>
      <c r="U28" s="8"/>
      <c r="V28" s="8"/>
      <c r="W28" s="8"/>
      <c r="X28" s="9"/>
      <c r="Y28" s="8"/>
      <c r="Z28" s="8"/>
      <c r="AA28" s="8"/>
    </row>
    <row r="29" spans="1:29" ht="49.5" x14ac:dyDescent="0.35">
      <c r="A29" s="10" t="s">
        <v>36</v>
      </c>
      <c r="B29" s="11" t="s">
        <v>173</v>
      </c>
      <c r="C29" s="12"/>
      <c r="D29" s="13" t="s">
        <v>36</v>
      </c>
      <c r="E29" s="14" t="s">
        <v>177</v>
      </c>
      <c r="F29" s="15">
        <v>43056</v>
      </c>
      <c r="G29" s="16">
        <v>1670200</v>
      </c>
      <c r="H29" s="17">
        <v>9.7099999999999992E-2</v>
      </c>
      <c r="I29" s="16">
        <v>152996.6226415094</v>
      </c>
      <c r="J29" s="18" t="s">
        <v>174</v>
      </c>
      <c r="K29" s="12">
        <v>11</v>
      </c>
      <c r="L29" s="47" t="s">
        <v>178</v>
      </c>
      <c r="M29" s="12"/>
      <c r="N29" s="12" t="s">
        <v>40</v>
      </c>
      <c r="O29" s="18" t="s">
        <v>174</v>
      </c>
      <c r="P29" s="9">
        <v>1</v>
      </c>
      <c r="Q29" s="8"/>
      <c r="R29" s="8"/>
      <c r="S29" s="8"/>
      <c r="T29" s="9"/>
      <c r="U29" s="8"/>
      <c r="V29" s="8"/>
      <c r="W29" s="8"/>
      <c r="X29" s="9"/>
      <c r="Y29" s="8"/>
      <c r="Z29" s="8"/>
      <c r="AA29" s="8"/>
    </row>
    <row r="30" spans="1:29" ht="49.5" x14ac:dyDescent="0.35">
      <c r="A30" s="10" t="s">
        <v>7</v>
      </c>
      <c r="B30" s="11" t="s">
        <v>173</v>
      </c>
      <c r="C30" s="12"/>
      <c r="D30" s="13" t="s">
        <v>7</v>
      </c>
      <c r="E30" s="14" t="s">
        <v>188</v>
      </c>
      <c r="F30" s="15">
        <v>43066</v>
      </c>
      <c r="G30" s="16">
        <v>22800</v>
      </c>
      <c r="H30" s="17">
        <v>1</v>
      </c>
      <c r="I30" s="16">
        <v>21509.433962264149</v>
      </c>
      <c r="J30" s="18" t="s">
        <v>180</v>
      </c>
      <c r="K30" s="12">
        <v>11</v>
      </c>
      <c r="L30" s="47" t="s">
        <v>189</v>
      </c>
      <c r="M30" s="12"/>
      <c r="N30" s="12" t="s">
        <v>29</v>
      </c>
      <c r="O30" s="18" t="s">
        <v>180</v>
      </c>
      <c r="P30" s="9">
        <v>1</v>
      </c>
      <c r="Q30" s="8"/>
      <c r="R30" s="8"/>
      <c r="S30" s="8"/>
      <c r="T30" s="9"/>
      <c r="U30" s="8"/>
      <c r="V30" s="8"/>
      <c r="W30" s="8"/>
      <c r="X30" s="9"/>
      <c r="Y30" s="8"/>
      <c r="Z30" s="8"/>
      <c r="AA30" s="8"/>
    </row>
    <row r="31" spans="1:29" ht="49.5" x14ac:dyDescent="0.35">
      <c r="A31" s="10" t="s">
        <v>7</v>
      </c>
      <c r="B31" s="11" t="s">
        <v>173</v>
      </c>
      <c r="C31" s="12"/>
      <c r="D31" s="13" t="s">
        <v>7</v>
      </c>
      <c r="E31" s="14" t="s">
        <v>190</v>
      </c>
      <c r="F31" s="15">
        <v>43068</v>
      </c>
      <c r="G31" s="16">
        <v>220000</v>
      </c>
      <c r="H31" s="17">
        <v>6.2E-2</v>
      </c>
      <c r="I31" s="16">
        <v>12867.924528301886</v>
      </c>
      <c r="J31" s="18" t="s">
        <v>180</v>
      </c>
      <c r="K31" s="12">
        <v>11</v>
      </c>
      <c r="L31" s="47" t="s">
        <v>191</v>
      </c>
      <c r="M31" s="12"/>
      <c r="N31" s="12" t="s">
        <v>29</v>
      </c>
      <c r="O31" s="18" t="s">
        <v>180</v>
      </c>
      <c r="P31" s="9">
        <v>1</v>
      </c>
      <c r="Q31" s="8"/>
      <c r="R31" s="8"/>
      <c r="S31" s="8"/>
      <c r="T31" s="9"/>
      <c r="U31" s="8"/>
      <c r="V31" s="8"/>
      <c r="W31" s="8"/>
      <c r="X31" s="9"/>
      <c r="Y31" s="8"/>
      <c r="Z31" s="8"/>
      <c r="AA31" s="8"/>
    </row>
    <row r="32" spans="1:29" ht="16.5" x14ac:dyDescent="0.35">
      <c r="A32" s="10" t="s">
        <v>36</v>
      </c>
      <c r="B32" s="11" t="s">
        <v>203</v>
      </c>
      <c r="C32" s="12"/>
      <c r="D32" s="13" t="s">
        <v>36</v>
      </c>
      <c r="E32" s="14" t="s">
        <v>204</v>
      </c>
      <c r="F32" s="15">
        <v>43076</v>
      </c>
      <c r="G32" s="16">
        <v>155000</v>
      </c>
      <c r="H32" s="17">
        <v>0.26970000000000005</v>
      </c>
      <c r="I32" s="16">
        <v>39437.264150943403</v>
      </c>
      <c r="J32" s="18" t="s">
        <v>202</v>
      </c>
      <c r="K32" s="12">
        <v>12</v>
      </c>
      <c r="L32" s="19" t="s">
        <v>205</v>
      </c>
      <c r="M32" s="12"/>
      <c r="N32" s="12" t="s">
        <v>40</v>
      </c>
      <c r="O32" s="8" t="s">
        <v>206</v>
      </c>
      <c r="P32" s="9">
        <v>1</v>
      </c>
      <c r="Q32" s="8">
        <v>155000</v>
      </c>
      <c r="R32" s="8">
        <v>49437</v>
      </c>
      <c r="S32" s="8"/>
      <c r="T32" s="9">
        <v>0</v>
      </c>
      <c r="U32" s="8">
        <v>0</v>
      </c>
      <c r="V32" s="8">
        <v>0</v>
      </c>
      <c r="W32" s="8">
        <v>0</v>
      </c>
      <c r="X32" s="9">
        <v>0</v>
      </c>
      <c r="Y32" s="8">
        <v>0</v>
      </c>
      <c r="Z32" s="8">
        <v>0</v>
      </c>
      <c r="AA32" s="8" t="s">
        <v>32</v>
      </c>
    </row>
    <row r="33" spans="1:27" ht="16.5" x14ac:dyDescent="0.35">
      <c r="A33" s="10" t="s">
        <v>7</v>
      </c>
      <c r="B33" s="11" t="s">
        <v>203</v>
      </c>
      <c r="C33" s="12"/>
      <c r="D33" s="13" t="s">
        <v>7</v>
      </c>
      <c r="E33" s="14" t="s">
        <v>207</v>
      </c>
      <c r="F33" s="15">
        <v>42978</v>
      </c>
      <c r="G33" s="16">
        <v>-154000000</v>
      </c>
      <c r="H33" s="17">
        <v>0.39790000000000003</v>
      </c>
      <c r="I33" s="16">
        <v>-57808113.207547173</v>
      </c>
      <c r="J33" s="18" t="s">
        <v>208</v>
      </c>
      <c r="K33" s="12">
        <v>12</v>
      </c>
      <c r="L33" s="19" t="s">
        <v>209</v>
      </c>
      <c r="M33" s="12"/>
      <c r="N33" s="12" t="s">
        <v>29</v>
      </c>
      <c r="O33" s="8" t="s">
        <v>210</v>
      </c>
      <c r="P33" s="9">
        <v>1</v>
      </c>
      <c r="Q33" s="8">
        <v>154000000</v>
      </c>
      <c r="R33" s="8">
        <v>57808113</v>
      </c>
      <c r="S33" s="8" t="e">
        <v>#N/A</v>
      </c>
      <c r="T33" s="9" t="e">
        <v>#N/A</v>
      </c>
      <c r="U33" s="8" t="e">
        <v>#N/A</v>
      </c>
      <c r="V33" s="8" t="e">
        <v>#N/A</v>
      </c>
      <c r="W33" s="8" t="e">
        <v>#N/A</v>
      </c>
      <c r="X33" s="9" t="e">
        <v>#N/A</v>
      </c>
      <c r="Y33" s="8" t="e">
        <v>#N/A</v>
      </c>
      <c r="Z33" s="8" t="e">
        <v>#N/A</v>
      </c>
      <c r="AA33" s="8" t="e">
        <v>#N/A</v>
      </c>
    </row>
    <row r="34" spans="1:27" ht="16.5" x14ac:dyDescent="0.35">
      <c r="A34" s="10" t="s">
        <v>7</v>
      </c>
      <c r="B34" s="11" t="s">
        <v>203</v>
      </c>
      <c r="C34" s="12"/>
      <c r="D34" s="13" t="s">
        <v>7</v>
      </c>
      <c r="E34" s="14" t="s">
        <v>207</v>
      </c>
      <c r="F34" s="15">
        <v>42978</v>
      </c>
      <c r="G34" s="16">
        <v>154000000</v>
      </c>
      <c r="H34" s="17">
        <v>0.39650000000000002</v>
      </c>
      <c r="I34" s="16">
        <v>57604716.981132075</v>
      </c>
      <c r="J34" s="18" t="s">
        <v>208</v>
      </c>
      <c r="K34" s="12">
        <v>12</v>
      </c>
      <c r="L34" s="19" t="s">
        <v>209</v>
      </c>
      <c r="M34" s="12"/>
      <c r="N34" s="12" t="s">
        <v>29</v>
      </c>
      <c r="O34" s="8" t="s">
        <v>210</v>
      </c>
      <c r="P34" s="9">
        <v>1</v>
      </c>
      <c r="Q34" s="8">
        <v>154000000</v>
      </c>
      <c r="R34" s="8">
        <v>57808113</v>
      </c>
      <c r="S34" s="8" t="e">
        <v>#N/A</v>
      </c>
      <c r="T34" s="9" t="e">
        <v>#N/A</v>
      </c>
      <c r="U34" s="8" t="e">
        <v>#N/A</v>
      </c>
      <c r="V34" s="8" t="e">
        <v>#N/A</v>
      </c>
      <c r="W34" s="8" t="e">
        <v>#N/A</v>
      </c>
      <c r="X34" s="9" t="e">
        <v>#N/A</v>
      </c>
      <c r="Y34" s="8" t="e">
        <v>#N/A</v>
      </c>
      <c r="Z34" s="8" t="e">
        <v>#N/A</v>
      </c>
      <c r="AA34" s="8" t="e">
        <v>#N/A</v>
      </c>
    </row>
    <row r="35" spans="1:27" ht="66" x14ac:dyDescent="0.35">
      <c r="A35" s="10" t="s">
        <v>7</v>
      </c>
      <c r="B35" s="20" t="s">
        <v>211</v>
      </c>
      <c r="C35" s="20"/>
      <c r="D35" s="10" t="s">
        <v>7</v>
      </c>
      <c r="E35" s="14" t="s">
        <v>212</v>
      </c>
      <c r="F35" s="21">
        <v>43031</v>
      </c>
      <c r="G35" s="22">
        <v>1000000</v>
      </c>
      <c r="H35" s="20">
        <v>0.60709999999999997</v>
      </c>
      <c r="I35" s="23">
        <v>572735.84905660374</v>
      </c>
      <c r="J35" s="24" t="s">
        <v>213</v>
      </c>
      <c r="K35" s="12">
        <v>10</v>
      </c>
      <c r="L35" s="25" t="s">
        <v>214</v>
      </c>
      <c r="M35" s="20">
        <v>0.06</v>
      </c>
      <c r="N35" s="26" t="s">
        <v>29</v>
      </c>
      <c r="O35" s="8" t="s">
        <v>215</v>
      </c>
      <c r="P35" s="9">
        <v>1</v>
      </c>
      <c r="Q35" s="8">
        <v>1000000</v>
      </c>
      <c r="R35" s="8">
        <v>572736</v>
      </c>
      <c r="S35" s="8"/>
      <c r="T35" s="9"/>
      <c r="U35" s="8"/>
      <c r="V35" s="8"/>
      <c r="W35" s="8"/>
      <c r="X35" s="9"/>
      <c r="Y35" s="8"/>
      <c r="Z35" s="8"/>
      <c r="AA35" s="8"/>
    </row>
    <row r="36" spans="1:27" ht="49.5" x14ac:dyDescent="0.35">
      <c r="A36" s="10" t="s">
        <v>36</v>
      </c>
      <c r="B36" s="11" t="s">
        <v>216</v>
      </c>
      <c r="C36" s="12"/>
      <c r="D36" s="13" t="s">
        <v>36</v>
      </c>
      <c r="E36" s="14" t="s">
        <v>217</v>
      </c>
      <c r="F36" s="15">
        <v>43047</v>
      </c>
      <c r="G36" s="16">
        <v>300000</v>
      </c>
      <c r="H36" s="17">
        <v>1.1037735849056602</v>
      </c>
      <c r="I36" s="16">
        <v>283018.86792452831</v>
      </c>
      <c r="J36" s="18" t="s">
        <v>218</v>
      </c>
      <c r="K36" s="12">
        <v>11</v>
      </c>
      <c r="L36" s="47" t="s">
        <v>219</v>
      </c>
      <c r="M36" s="12"/>
      <c r="N36" s="12" t="s">
        <v>40</v>
      </c>
      <c r="O36" s="8" t="s">
        <v>220</v>
      </c>
      <c r="P36" s="9">
        <v>1</v>
      </c>
      <c r="Q36" s="8">
        <v>300000</v>
      </c>
      <c r="R36" s="8">
        <v>283019</v>
      </c>
      <c r="S36" s="8"/>
      <c r="T36" s="9"/>
      <c r="U36" s="8"/>
      <c r="V36" s="8"/>
      <c r="W36" s="8"/>
      <c r="X36" s="9"/>
      <c r="Y36" s="8"/>
      <c r="Z36" s="8"/>
      <c r="AA36" s="8"/>
    </row>
    <row r="37" spans="1:27" ht="16.5" x14ac:dyDescent="0.35">
      <c r="A37" s="10" t="s">
        <v>7</v>
      </c>
      <c r="B37" s="11" t="s">
        <v>27</v>
      </c>
      <c r="C37" s="12"/>
      <c r="D37" s="13" t="s">
        <v>7</v>
      </c>
      <c r="E37" s="14" t="s">
        <v>28</v>
      </c>
      <c r="F37" s="15">
        <v>43083</v>
      </c>
      <c r="G37" s="16">
        <v>649395</v>
      </c>
      <c r="H37" s="17">
        <v>0.3</v>
      </c>
      <c r="I37" s="16">
        <v>183791.03773584901</v>
      </c>
      <c r="J37" s="18" t="s">
        <v>6</v>
      </c>
      <c r="K37" s="12">
        <v>12</v>
      </c>
      <c r="L37" s="19" t="s">
        <v>9</v>
      </c>
      <c r="M37" s="12"/>
      <c r="N37" s="12" t="s">
        <v>29</v>
      </c>
      <c r="O37" s="8" t="s">
        <v>30</v>
      </c>
      <c r="P37" s="9">
        <v>1</v>
      </c>
      <c r="Q37" s="8">
        <v>649395</v>
      </c>
      <c r="R37" s="8">
        <v>183791.03773584901</v>
      </c>
      <c r="S37" s="8" t="s">
        <v>31</v>
      </c>
      <c r="T37" s="9">
        <v>0</v>
      </c>
      <c r="U37" s="8">
        <v>0</v>
      </c>
      <c r="V37" s="8">
        <v>0</v>
      </c>
      <c r="W37" s="8">
        <v>0</v>
      </c>
      <c r="X37" s="9">
        <v>0</v>
      </c>
      <c r="Y37" s="8">
        <v>0</v>
      </c>
      <c r="Z37" s="8">
        <v>0</v>
      </c>
      <c r="AA37" s="8" t="s">
        <v>32</v>
      </c>
    </row>
    <row r="38" spans="1:27" ht="16.5" x14ac:dyDescent="0.35">
      <c r="A38" s="10" t="s">
        <v>7</v>
      </c>
      <c r="B38" s="11" t="s">
        <v>27</v>
      </c>
      <c r="C38" s="12"/>
      <c r="D38" s="13" t="s">
        <v>7</v>
      </c>
      <c r="E38" s="14" t="s">
        <v>33</v>
      </c>
      <c r="F38" s="15">
        <v>43084</v>
      </c>
      <c r="G38" s="16">
        <v>54063</v>
      </c>
      <c r="H38" s="17">
        <v>0.3</v>
      </c>
      <c r="I38" s="16">
        <v>15300.8490566038</v>
      </c>
      <c r="J38" s="18" t="s">
        <v>6</v>
      </c>
      <c r="K38" s="12">
        <v>12</v>
      </c>
      <c r="L38" s="19" t="s">
        <v>9</v>
      </c>
      <c r="M38" s="12"/>
      <c r="N38" s="12" t="s">
        <v>29</v>
      </c>
      <c r="O38" s="8" t="s">
        <v>30</v>
      </c>
      <c r="P38" s="9">
        <v>1</v>
      </c>
      <c r="Q38" s="8">
        <v>54063</v>
      </c>
      <c r="R38" s="8">
        <v>15300.8490566038</v>
      </c>
      <c r="S38" s="8" t="s">
        <v>31</v>
      </c>
      <c r="T38" s="9">
        <v>0</v>
      </c>
      <c r="U38" s="8">
        <v>0</v>
      </c>
      <c r="V38" s="8">
        <v>0</v>
      </c>
      <c r="W38" s="8">
        <v>0</v>
      </c>
      <c r="X38" s="9">
        <v>0</v>
      </c>
      <c r="Y38" s="8">
        <v>0</v>
      </c>
      <c r="Z38" s="8">
        <v>0</v>
      </c>
      <c r="AA38" s="8" t="s">
        <v>35</v>
      </c>
    </row>
    <row r="39" spans="1:27" ht="49.5" x14ac:dyDescent="0.35">
      <c r="A39" s="10" t="s">
        <v>36</v>
      </c>
      <c r="B39" s="20" t="s">
        <v>274</v>
      </c>
      <c r="C39" s="20"/>
      <c r="D39" s="10" t="s">
        <v>36</v>
      </c>
      <c r="E39" s="14" t="s">
        <v>38</v>
      </c>
      <c r="F39" s="21">
        <v>43025</v>
      </c>
      <c r="G39" s="22">
        <v>80000</v>
      </c>
      <c r="H39" s="20">
        <v>0.75</v>
      </c>
      <c r="I39" s="23">
        <v>56603.773584905699</v>
      </c>
      <c r="J39" s="24" t="s">
        <v>4</v>
      </c>
      <c r="K39" s="12">
        <v>10</v>
      </c>
      <c r="L39" s="25" t="s">
        <v>39</v>
      </c>
      <c r="M39" s="20">
        <v>0.06</v>
      </c>
      <c r="N39" s="26" t="s">
        <v>40</v>
      </c>
      <c r="O39" s="8" t="s">
        <v>41</v>
      </c>
      <c r="P39" s="9">
        <v>1</v>
      </c>
      <c r="Q39" s="8">
        <v>80000</v>
      </c>
      <c r="R39" s="8">
        <v>56603.773584905699</v>
      </c>
      <c r="S39" s="8" t="s">
        <v>31</v>
      </c>
      <c r="T39" s="9">
        <v>0</v>
      </c>
      <c r="U39" s="8">
        <v>0</v>
      </c>
      <c r="V39" s="8">
        <v>0</v>
      </c>
      <c r="W39" s="8">
        <v>0</v>
      </c>
      <c r="X39" s="9">
        <v>0</v>
      </c>
      <c r="Y39" s="8">
        <v>0</v>
      </c>
      <c r="Z39" s="8">
        <v>0</v>
      </c>
      <c r="AA39" s="8" t="s">
        <v>5</v>
      </c>
    </row>
    <row r="40" spans="1:27" ht="16.5" x14ac:dyDescent="0.35">
      <c r="A40" s="10" t="s">
        <v>7</v>
      </c>
      <c r="B40" s="11" t="s">
        <v>276</v>
      </c>
      <c r="C40" s="12"/>
      <c r="D40" s="13" t="s">
        <v>7</v>
      </c>
      <c r="E40" s="14" t="s">
        <v>277</v>
      </c>
      <c r="F40" s="15">
        <v>43081</v>
      </c>
      <c r="G40" s="16">
        <v>19924189</v>
      </c>
      <c r="H40" s="17">
        <v>0.18492066093867149</v>
      </c>
      <c r="I40" s="16">
        <v>3475843.5835349131</v>
      </c>
      <c r="J40" s="18" t="s">
        <v>278</v>
      </c>
      <c r="K40" s="12">
        <v>12</v>
      </c>
      <c r="L40" s="19" t="s">
        <v>279</v>
      </c>
      <c r="M40" s="12"/>
      <c r="N40" s="12" t="s">
        <v>29</v>
      </c>
      <c r="O40" s="8" t="s">
        <v>280</v>
      </c>
      <c r="P40" s="9">
        <v>0.6</v>
      </c>
      <c r="Q40" s="70">
        <f t="shared" ref="Q40:Q50" si="0">P40*G40</f>
        <v>11954513.4</v>
      </c>
      <c r="R40" s="70">
        <f t="shared" ref="R40:R50" si="1">P40*I40</f>
        <v>2085506.1501209477</v>
      </c>
      <c r="S40" s="8" t="s">
        <v>281</v>
      </c>
      <c r="T40" s="9">
        <v>0.4</v>
      </c>
      <c r="U40" s="8">
        <f t="shared" ref="U40:U50" si="2">T40*G40</f>
        <v>7969675.6000000006</v>
      </c>
      <c r="V40" s="8">
        <f t="shared" ref="V40:V50" si="3">T40*I40</f>
        <v>1390337.4334139654</v>
      </c>
      <c r="W40" s="8">
        <v>0</v>
      </c>
      <c r="X40" s="9">
        <v>0</v>
      </c>
      <c r="Y40" s="8">
        <v>0</v>
      </c>
      <c r="Z40" s="8">
        <v>0</v>
      </c>
      <c r="AA40" s="8" t="s">
        <v>35</v>
      </c>
    </row>
    <row r="41" spans="1:27" ht="16.5" x14ac:dyDescent="0.35">
      <c r="A41" s="10" t="s">
        <v>7</v>
      </c>
      <c r="B41" s="11" t="s">
        <v>276</v>
      </c>
      <c r="C41" s="12"/>
      <c r="D41" s="13" t="s">
        <v>7</v>
      </c>
      <c r="E41" s="14" t="s">
        <v>282</v>
      </c>
      <c r="F41" s="15">
        <v>43069</v>
      </c>
      <c r="G41" s="16">
        <v>-4256388</v>
      </c>
      <c r="H41" s="17">
        <v>0.25369999999999998</v>
      </c>
      <c r="I41" s="16">
        <v>-1018722.2977358489</v>
      </c>
      <c r="J41" s="18">
        <v>0</v>
      </c>
      <c r="K41" s="12">
        <v>12</v>
      </c>
      <c r="L41" s="19" t="s">
        <v>283</v>
      </c>
      <c r="M41" s="12"/>
      <c r="N41" s="12" t="s">
        <v>29</v>
      </c>
      <c r="O41" s="8" t="s">
        <v>280</v>
      </c>
      <c r="P41" s="9">
        <v>0.6</v>
      </c>
      <c r="Q41" s="70">
        <f t="shared" si="0"/>
        <v>-2553832.7999999998</v>
      </c>
      <c r="R41" s="70">
        <f t="shared" si="1"/>
        <v>-611233.37864150933</v>
      </c>
      <c r="S41" s="8" t="s">
        <v>284</v>
      </c>
      <c r="T41" s="9">
        <v>0.4</v>
      </c>
      <c r="U41" s="8">
        <f t="shared" si="2"/>
        <v>-1702555.2000000002</v>
      </c>
      <c r="V41" s="8">
        <f t="shared" si="3"/>
        <v>-407488.9190943396</v>
      </c>
      <c r="W41" s="8">
        <v>0</v>
      </c>
      <c r="X41" s="9">
        <v>0</v>
      </c>
      <c r="Y41" s="8">
        <v>0</v>
      </c>
      <c r="Z41" s="8">
        <v>0</v>
      </c>
      <c r="AA41" s="8" t="s">
        <v>32</v>
      </c>
    </row>
    <row r="42" spans="1:27" ht="16.5" x14ac:dyDescent="0.35">
      <c r="A42" s="10" t="s">
        <v>7</v>
      </c>
      <c r="B42" s="11" t="s">
        <v>276</v>
      </c>
      <c r="C42" s="12"/>
      <c r="D42" s="13" t="s">
        <v>7</v>
      </c>
      <c r="E42" s="14" t="s">
        <v>282</v>
      </c>
      <c r="F42" s="15">
        <v>43069</v>
      </c>
      <c r="G42" s="16">
        <v>4256388</v>
      </c>
      <c r="H42" s="17">
        <v>0.19719999999999999</v>
      </c>
      <c r="I42" s="16">
        <v>791848.78641509416</v>
      </c>
      <c r="J42" s="18">
        <v>0</v>
      </c>
      <c r="K42" s="12">
        <v>12</v>
      </c>
      <c r="L42" s="19" t="s">
        <v>283</v>
      </c>
      <c r="M42" s="12"/>
      <c r="N42" s="12" t="s">
        <v>29</v>
      </c>
      <c r="O42" s="8" t="s">
        <v>285</v>
      </c>
      <c r="P42" s="9">
        <v>0.6</v>
      </c>
      <c r="Q42" s="70">
        <f t="shared" si="0"/>
        <v>2553832.7999999998</v>
      </c>
      <c r="R42" s="70">
        <f t="shared" si="1"/>
        <v>475109.27184905647</v>
      </c>
      <c r="S42" s="8" t="s">
        <v>284</v>
      </c>
      <c r="T42" s="9">
        <v>0.4</v>
      </c>
      <c r="U42" s="8">
        <f t="shared" si="2"/>
        <v>1702555.2000000002</v>
      </c>
      <c r="V42" s="8">
        <f t="shared" si="3"/>
        <v>316739.51456603769</v>
      </c>
      <c r="W42" s="8">
        <v>0</v>
      </c>
      <c r="X42" s="9">
        <v>0</v>
      </c>
      <c r="Y42" s="8">
        <v>0</v>
      </c>
      <c r="Z42" s="8">
        <v>0</v>
      </c>
      <c r="AA42" s="8" t="s">
        <v>32</v>
      </c>
    </row>
    <row r="43" spans="1:27" ht="16.5" x14ac:dyDescent="0.35">
      <c r="A43" s="10" t="s">
        <v>36</v>
      </c>
      <c r="B43" s="11" t="s">
        <v>276</v>
      </c>
      <c r="C43" s="12"/>
      <c r="D43" s="13" t="s">
        <v>36</v>
      </c>
      <c r="E43" s="14" t="s">
        <v>277</v>
      </c>
      <c r="F43" s="15">
        <v>43094</v>
      </c>
      <c r="G43" s="16">
        <v>11765013</v>
      </c>
      <c r="H43" s="17">
        <v>0.38580603353349469</v>
      </c>
      <c r="I43" s="16">
        <v>4282087.7358490573</v>
      </c>
      <c r="J43" s="18" t="s">
        <v>278</v>
      </c>
      <c r="K43" s="12">
        <v>12</v>
      </c>
      <c r="L43" s="19" t="s">
        <v>279</v>
      </c>
      <c r="M43" s="12"/>
      <c r="N43" s="12" t="s">
        <v>40</v>
      </c>
      <c r="O43" s="8" t="s">
        <v>280</v>
      </c>
      <c r="P43" s="9">
        <v>0.6</v>
      </c>
      <c r="Q43" s="70">
        <f t="shared" si="0"/>
        <v>7059007.7999999998</v>
      </c>
      <c r="R43" s="70">
        <f t="shared" si="1"/>
        <v>2569252.6415094342</v>
      </c>
      <c r="S43" s="8" t="s">
        <v>284</v>
      </c>
      <c r="T43" s="9">
        <v>0.4</v>
      </c>
      <c r="U43" s="8">
        <f t="shared" si="2"/>
        <v>4706005.2</v>
      </c>
      <c r="V43" s="8">
        <f t="shared" si="3"/>
        <v>1712835.0943396231</v>
      </c>
      <c r="W43" s="8">
        <v>0</v>
      </c>
      <c r="X43" s="9">
        <v>0</v>
      </c>
      <c r="Y43" s="8">
        <v>0</v>
      </c>
      <c r="Z43" s="8">
        <v>0</v>
      </c>
      <c r="AA43" s="8" t="s">
        <v>35</v>
      </c>
    </row>
    <row r="44" spans="1:27" ht="16.5" x14ac:dyDescent="0.35">
      <c r="A44" s="10" t="s">
        <v>36</v>
      </c>
      <c r="B44" s="11" t="s">
        <v>276</v>
      </c>
      <c r="C44" s="12"/>
      <c r="D44" s="13" t="s">
        <v>36</v>
      </c>
      <c r="E44" s="14" t="s">
        <v>286</v>
      </c>
      <c r="F44" s="15">
        <v>43097</v>
      </c>
      <c r="G44" s="16">
        <v>1600000</v>
      </c>
      <c r="H44" s="17">
        <v>0.02</v>
      </c>
      <c r="I44" s="16">
        <v>30188.679245283016</v>
      </c>
      <c r="J44" s="18" t="s">
        <v>287</v>
      </c>
      <c r="K44" s="12">
        <v>12</v>
      </c>
      <c r="L44" s="19" t="s">
        <v>288</v>
      </c>
      <c r="M44" s="12"/>
      <c r="N44" s="12" t="s">
        <v>40</v>
      </c>
      <c r="O44" s="8" t="s">
        <v>289</v>
      </c>
      <c r="P44" s="9">
        <v>1</v>
      </c>
      <c r="Q44" s="70">
        <f t="shared" si="0"/>
        <v>1600000</v>
      </c>
      <c r="R44" s="70">
        <f t="shared" si="1"/>
        <v>30188.679245283016</v>
      </c>
      <c r="S44" s="8">
        <v>0</v>
      </c>
      <c r="T44" s="9">
        <v>0</v>
      </c>
      <c r="U44" s="8">
        <f t="shared" si="2"/>
        <v>0</v>
      </c>
      <c r="V44" s="8">
        <f t="shared" si="3"/>
        <v>0</v>
      </c>
      <c r="W44" s="8">
        <v>0</v>
      </c>
      <c r="X44" s="9">
        <v>0</v>
      </c>
      <c r="Y44" s="8">
        <v>0</v>
      </c>
      <c r="Z44" s="8">
        <v>0</v>
      </c>
      <c r="AA44" s="8" t="s">
        <v>32</v>
      </c>
    </row>
    <row r="45" spans="1:27" ht="16.5" x14ac:dyDescent="0.35">
      <c r="A45" s="10" t="s">
        <v>36</v>
      </c>
      <c r="B45" s="11" t="s">
        <v>276</v>
      </c>
      <c r="C45" s="12"/>
      <c r="D45" s="13" t="s">
        <v>36</v>
      </c>
      <c r="E45" s="14" t="s">
        <v>286</v>
      </c>
      <c r="F45" s="15">
        <v>43097</v>
      </c>
      <c r="G45" s="16">
        <v>3390000</v>
      </c>
      <c r="H45" s="17">
        <v>0.15</v>
      </c>
      <c r="I45" s="16">
        <v>479716.98113207542</v>
      </c>
      <c r="J45" s="18" t="s">
        <v>287</v>
      </c>
      <c r="K45" s="12">
        <v>12</v>
      </c>
      <c r="L45" s="19" t="s">
        <v>288</v>
      </c>
      <c r="M45" s="12"/>
      <c r="N45" s="12" t="s">
        <v>40</v>
      </c>
      <c r="O45" s="8" t="s">
        <v>289</v>
      </c>
      <c r="P45" s="9">
        <v>1</v>
      </c>
      <c r="Q45" s="70">
        <f t="shared" si="0"/>
        <v>3390000</v>
      </c>
      <c r="R45" s="70">
        <f t="shared" si="1"/>
        <v>479716.98113207542</v>
      </c>
      <c r="S45" s="8">
        <v>0</v>
      </c>
      <c r="T45" s="9">
        <v>0</v>
      </c>
      <c r="U45" s="8">
        <f t="shared" si="2"/>
        <v>0</v>
      </c>
      <c r="V45" s="8">
        <f t="shared" si="3"/>
        <v>0</v>
      </c>
      <c r="W45" s="8">
        <v>0</v>
      </c>
      <c r="X45" s="9">
        <v>0</v>
      </c>
      <c r="Y45" s="8">
        <v>0</v>
      </c>
      <c r="Z45" s="8">
        <v>0</v>
      </c>
      <c r="AA45" s="8" t="s">
        <v>32</v>
      </c>
    </row>
    <row r="46" spans="1:27" ht="16.5" x14ac:dyDescent="0.35">
      <c r="A46" s="10" t="s">
        <v>7</v>
      </c>
      <c r="B46" s="11" t="s">
        <v>276</v>
      </c>
      <c r="C46" s="12"/>
      <c r="D46" s="13" t="s">
        <v>7</v>
      </c>
      <c r="E46" s="14" t="s">
        <v>290</v>
      </c>
      <c r="F46" s="15">
        <v>43097</v>
      </c>
      <c r="G46" s="16">
        <v>1750000</v>
      </c>
      <c r="H46" s="17">
        <v>0.30000000000000004</v>
      </c>
      <c r="I46" s="16">
        <v>495283.01886792463</v>
      </c>
      <c r="J46" s="18">
        <v>0</v>
      </c>
      <c r="K46" s="12">
        <v>12</v>
      </c>
      <c r="L46" s="19" t="s">
        <v>291</v>
      </c>
      <c r="M46" s="12"/>
      <c r="N46" s="12" t="s">
        <v>29</v>
      </c>
      <c r="O46" s="8" t="s">
        <v>292</v>
      </c>
      <c r="P46" s="9">
        <v>1</v>
      </c>
      <c r="Q46" s="70">
        <f t="shared" si="0"/>
        <v>1750000</v>
      </c>
      <c r="R46" s="70">
        <f t="shared" si="1"/>
        <v>495283.01886792463</v>
      </c>
      <c r="S46" s="8">
        <v>0</v>
      </c>
      <c r="T46" s="9">
        <v>0</v>
      </c>
      <c r="U46" s="8">
        <f t="shared" si="2"/>
        <v>0</v>
      </c>
      <c r="V46" s="8">
        <f t="shared" si="3"/>
        <v>0</v>
      </c>
      <c r="W46" s="8">
        <v>0</v>
      </c>
      <c r="X46" s="9">
        <v>0</v>
      </c>
      <c r="Y46" s="8">
        <v>0</v>
      </c>
      <c r="Z46" s="8">
        <v>0</v>
      </c>
      <c r="AA46" s="8" t="s">
        <v>35</v>
      </c>
    </row>
    <row r="47" spans="1:27" ht="16.5" x14ac:dyDescent="0.35">
      <c r="A47" s="10" t="s">
        <v>7</v>
      </c>
      <c r="B47" s="11" t="s">
        <v>276</v>
      </c>
      <c r="C47" s="12"/>
      <c r="D47" s="13" t="s">
        <v>7</v>
      </c>
      <c r="E47" s="14" t="s">
        <v>293</v>
      </c>
      <c r="F47" s="15">
        <v>43097</v>
      </c>
      <c r="G47" s="16">
        <v>860000</v>
      </c>
      <c r="H47" s="17">
        <v>0.3</v>
      </c>
      <c r="I47" s="16">
        <v>243396.22641509434</v>
      </c>
      <c r="J47" s="18">
        <v>0</v>
      </c>
      <c r="K47" s="12">
        <v>12</v>
      </c>
      <c r="L47" s="19" t="s">
        <v>291</v>
      </c>
      <c r="M47" s="12"/>
      <c r="N47" s="12" t="s">
        <v>29</v>
      </c>
      <c r="O47" s="8" t="s">
        <v>292</v>
      </c>
      <c r="P47" s="9">
        <v>1</v>
      </c>
      <c r="Q47" s="70">
        <f t="shared" si="0"/>
        <v>860000</v>
      </c>
      <c r="R47" s="70">
        <f t="shared" si="1"/>
        <v>243396.22641509434</v>
      </c>
      <c r="S47" s="8">
        <v>0</v>
      </c>
      <c r="T47" s="9">
        <v>0</v>
      </c>
      <c r="U47" s="8">
        <f t="shared" si="2"/>
        <v>0</v>
      </c>
      <c r="V47" s="8">
        <f t="shared" si="3"/>
        <v>0</v>
      </c>
      <c r="W47" s="8">
        <v>0</v>
      </c>
      <c r="X47" s="9">
        <v>0</v>
      </c>
      <c r="Y47" s="8">
        <v>0</v>
      </c>
      <c r="Z47" s="8">
        <v>0</v>
      </c>
      <c r="AA47" s="8" t="s">
        <v>35</v>
      </c>
    </row>
    <row r="48" spans="1:27" ht="66" x14ac:dyDescent="0.35">
      <c r="A48" s="10" t="s">
        <v>36</v>
      </c>
      <c r="B48" s="11" t="s">
        <v>294</v>
      </c>
      <c r="C48" s="12"/>
      <c r="D48" s="13" t="s">
        <v>36</v>
      </c>
      <c r="E48" s="14" t="s">
        <v>295</v>
      </c>
      <c r="F48" s="15">
        <v>43069</v>
      </c>
      <c r="G48" s="16">
        <v>3050000</v>
      </c>
      <c r="H48" s="17">
        <v>0.88519999999999999</v>
      </c>
      <c r="I48" s="16">
        <v>2547037.7358490564</v>
      </c>
      <c r="J48" s="18" t="s">
        <v>296</v>
      </c>
      <c r="K48" s="12">
        <v>11</v>
      </c>
      <c r="L48" s="47" t="s">
        <v>297</v>
      </c>
      <c r="M48" s="12"/>
      <c r="N48" s="12" t="s">
        <v>40</v>
      </c>
      <c r="O48" s="8" t="s">
        <v>284</v>
      </c>
      <c r="P48" s="9">
        <v>1</v>
      </c>
      <c r="Q48" s="70">
        <f t="shared" si="0"/>
        <v>3050000</v>
      </c>
      <c r="R48" s="70">
        <f t="shared" si="1"/>
        <v>2547037.7358490564</v>
      </c>
      <c r="S48" s="8"/>
      <c r="T48" s="9"/>
      <c r="U48" s="8">
        <f t="shared" si="2"/>
        <v>0</v>
      </c>
      <c r="V48" s="8">
        <f t="shared" si="3"/>
        <v>0</v>
      </c>
      <c r="W48" s="8"/>
      <c r="X48" s="9"/>
      <c r="Y48" s="8"/>
      <c r="Z48" s="8"/>
      <c r="AA48" s="8"/>
    </row>
    <row r="49" spans="1:27" ht="66" x14ac:dyDescent="0.35">
      <c r="A49" s="10" t="s">
        <v>36</v>
      </c>
      <c r="B49" s="11" t="s">
        <v>294</v>
      </c>
      <c r="C49" s="12"/>
      <c r="D49" s="13" t="s">
        <v>36</v>
      </c>
      <c r="E49" s="14" t="s">
        <v>295</v>
      </c>
      <c r="F49" s="15">
        <v>43069</v>
      </c>
      <c r="G49" s="16">
        <v>639375</v>
      </c>
      <c r="H49" s="17">
        <v>7.7200000000000005E-2</v>
      </c>
      <c r="I49" s="16">
        <v>42187.820512820515</v>
      </c>
      <c r="J49" s="18" t="s">
        <v>296</v>
      </c>
      <c r="K49" s="12">
        <v>11</v>
      </c>
      <c r="L49" s="47" t="s">
        <v>297</v>
      </c>
      <c r="M49" s="12"/>
      <c r="N49" s="12" t="s">
        <v>40</v>
      </c>
      <c r="O49" s="8" t="s">
        <v>284</v>
      </c>
      <c r="P49" s="9">
        <v>1</v>
      </c>
      <c r="Q49" s="70">
        <f t="shared" si="0"/>
        <v>639375</v>
      </c>
      <c r="R49" s="70">
        <f t="shared" si="1"/>
        <v>42187.820512820515</v>
      </c>
      <c r="S49" s="8"/>
      <c r="T49" s="9"/>
      <c r="U49" s="8">
        <f t="shared" si="2"/>
        <v>0</v>
      </c>
      <c r="V49" s="8">
        <f t="shared" si="3"/>
        <v>0</v>
      </c>
      <c r="W49" s="8"/>
      <c r="X49" s="9"/>
      <c r="Y49" s="8"/>
      <c r="Z49" s="8"/>
      <c r="AA49" s="8"/>
    </row>
    <row r="50" spans="1:27" ht="99" x14ac:dyDescent="0.35">
      <c r="A50" s="10" t="s">
        <v>7</v>
      </c>
      <c r="B50" s="11" t="s">
        <v>294</v>
      </c>
      <c r="C50" s="12"/>
      <c r="D50" s="13" t="s">
        <v>7</v>
      </c>
      <c r="E50" s="14" t="s">
        <v>282</v>
      </c>
      <c r="F50" s="15">
        <v>43069</v>
      </c>
      <c r="G50" s="16">
        <v>4256388</v>
      </c>
      <c r="H50" s="17">
        <v>0.25369999999999998</v>
      </c>
      <c r="I50" s="16">
        <v>1018722.2977358489</v>
      </c>
      <c r="J50" s="18">
        <v>0</v>
      </c>
      <c r="K50" s="12">
        <v>11</v>
      </c>
      <c r="L50" s="47" t="s">
        <v>283</v>
      </c>
      <c r="M50" s="12"/>
      <c r="N50" s="12" t="s">
        <v>29</v>
      </c>
      <c r="O50" s="8" t="s">
        <v>285</v>
      </c>
      <c r="P50" s="9">
        <v>0.6</v>
      </c>
      <c r="Q50" s="70">
        <f t="shared" si="0"/>
        <v>2553832.7999999998</v>
      </c>
      <c r="R50" s="70">
        <f t="shared" si="1"/>
        <v>611233.37864150933</v>
      </c>
      <c r="S50" s="8" t="s">
        <v>284</v>
      </c>
      <c r="T50" s="9">
        <v>0.4</v>
      </c>
      <c r="U50" s="8">
        <f t="shared" si="2"/>
        <v>1702555.2000000002</v>
      </c>
      <c r="V50" s="8">
        <f t="shared" si="3"/>
        <v>407488.9190943396</v>
      </c>
      <c r="W50" s="8"/>
      <c r="X50" s="9"/>
      <c r="Y50" s="8"/>
      <c r="Z50" s="8"/>
      <c r="AA50" s="8" t="s">
        <v>8</v>
      </c>
    </row>
    <row r="51" spans="1:27" ht="16.5" x14ac:dyDescent="0.35">
      <c r="A51" s="10" t="s">
        <v>306</v>
      </c>
      <c r="B51" s="11" t="s">
        <v>304</v>
      </c>
      <c r="C51" s="74"/>
      <c r="D51" s="13" t="s">
        <v>306</v>
      </c>
      <c r="E51" s="75" t="s">
        <v>307</v>
      </c>
      <c r="F51" s="76">
        <v>43077</v>
      </c>
      <c r="G51" s="77">
        <v>2000000</v>
      </c>
      <c r="H51" s="78">
        <v>0.81140000000000001</v>
      </c>
      <c r="I51" s="77">
        <v>1530849.6</v>
      </c>
      <c r="J51" s="79" t="s">
        <v>308</v>
      </c>
      <c r="K51" s="74">
        <v>12</v>
      </c>
      <c r="L51" s="19" t="s">
        <v>309</v>
      </c>
      <c r="M51" s="74"/>
      <c r="N51" s="74" t="s">
        <v>310</v>
      </c>
      <c r="O51" s="72" t="str">
        <f>J51</f>
        <v>王丽鹃</v>
      </c>
      <c r="P51" s="80">
        <v>0.8</v>
      </c>
      <c r="Q51" s="72">
        <f t="shared" ref="Q51:Q87" si="4">G51*P51</f>
        <v>1600000</v>
      </c>
      <c r="R51" s="72">
        <f t="shared" ref="R51:R87" si="5">I51*P51</f>
        <v>1224679.6800000002</v>
      </c>
      <c r="S51" s="72" t="s">
        <v>311</v>
      </c>
      <c r="T51" s="80">
        <v>0.2</v>
      </c>
      <c r="U51" s="72">
        <f>G51*T51</f>
        <v>400000</v>
      </c>
      <c r="V51" s="72">
        <f>I51*T51</f>
        <v>306169.92000000004</v>
      </c>
      <c r="W51" s="72">
        <v>0</v>
      </c>
      <c r="X51" s="73">
        <v>0</v>
      </c>
      <c r="Y51" s="72">
        <v>0</v>
      </c>
      <c r="Z51" s="72">
        <v>0</v>
      </c>
      <c r="AA51" s="72" t="s">
        <v>32</v>
      </c>
    </row>
    <row r="52" spans="1:27" ht="16.5" x14ac:dyDescent="0.35">
      <c r="A52" s="10" t="s">
        <v>36</v>
      </c>
      <c r="B52" s="11" t="s">
        <v>304</v>
      </c>
      <c r="C52" s="74"/>
      <c r="D52" s="13" t="s">
        <v>36</v>
      </c>
      <c r="E52" s="75" t="s">
        <v>312</v>
      </c>
      <c r="F52" s="76">
        <v>43027</v>
      </c>
      <c r="G52" s="77">
        <v>-720000</v>
      </c>
      <c r="H52" s="78">
        <v>1</v>
      </c>
      <c r="I52" s="77">
        <v>-679245.28301886795</v>
      </c>
      <c r="J52" s="79" t="s">
        <v>305</v>
      </c>
      <c r="K52" s="74">
        <v>12</v>
      </c>
      <c r="L52" s="19" t="s">
        <v>313</v>
      </c>
      <c r="M52" s="74"/>
      <c r="N52" s="74" t="s">
        <v>40</v>
      </c>
      <c r="O52" s="72" t="s">
        <v>305</v>
      </c>
      <c r="P52" s="80">
        <v>1</v>
      </c>
      <c r="Q52" s="72">
        <f t="shared" si="4"/>
        <v>-720000</v>
      </c>
      <c r="R52" s="72">
        <f t="shared" si="5"/>
        <v>-679245.28301886795</v>
      </c>
      <c r="S52" s="72" t="e">
        <v>#N/A</v>
      </c>
      <c r="T52" s="73" t="e">
        <v>#N/A</v>
      </c>
      <c r="U52" s="72" t="e">
        <v>#N/A</v>
      </c>
      <c r="V52" s="72" t="e">
        <v>#N/A</v>
      </c>
      <c r="W52" s="72" t="e">
        <v>#N/A</v>
      </c>
      <c r="X52" s="73" t="e">
        <v>#N/A</v>
      </c>
      <c r="Y52" s="72" t="e">
        <v>#N/A</v>
      </c>
      <c r="Z52" s="72" t="e">
        <v>#N/A</v>
      </c>
      <c r="AA52" s="72" t="s">
        <v>35</v>
      </c>
    </row>
    <row r="53" spans="1:27" ht="16.5" x14ac:dyDescent="0.35">
      <c r="A53" s="10" t="s">
        <v>36</v>
      </c>
      <c r="B53" s="11" t="s">
        <v>304</v>
      </c>
      <c r="C53" s="74"/>
      <c r="D53" s="13" t="s">
        <v>36</v>
      </c>
      <c r="E53" s="75" t="s">
        <v>312</v>
      </c>
      <c r="F53" s="76">
        <v>43027</v>
      </c>
      <c r="G53" s="77">
        <v>720000</v>
      </c>
      <c r="H53" s="78">
        <v>0.98799999999999999</v>
      </c>
      <c r="I53" s="77">
        <v>671094.33962264098</v>
      </c>
      <c r="J53" s="79" t="s">
        <v>305</v>
      </c>
      <c r="K53" s="74">
        <v>12</v>
      </c>
      <c r="L53" s="19" t="s">
        <v>313</v>
      </c>
      <c r="M53" s="74"/>
      <c r="N53" s="74" t="s">
        <v>40</v>
      </c>
      <c r="O53" s="72" t="s">
        <v>305</v>
      </c>
      <c r="P53" s="80">
        <v>1</v>
      </c>
      <c r="Q53" s="72">
        <f t="shared" si="4"/>
        <v>720000</v>
      </c>
      <c r="R53" s="72">
        <f t="shared" si="5"/>
        <v>671094.33962264098</v>
      </c>
      <c r="S53" s="72" t="e">
        <v>#N/A</v>
      </c>
      <c r="T53" s="73" t="e">
        <v>#N/A</v>
      </c>
      <c r="U53" s="72" t="e">
        <v>#N/A</v>
      </c>
      <c r="V53" s="72" t="e">
        <v>#N/A</v>
      </c>
      <c r="W53" s="72" t="e">
        <v>#N/A</v>
      </c>
      <c r="X53" s="73" t="e">
        <v>#N/A</v>
      </c>
      <c r="Y53" s="72" t="e">
        <v>#N/A</v>
      </c>
      <c r="Z53" s="72" t="e">
        <v>#N/A</v>
      </c>
      <c r="AA53" s="72" t="s">
        <v>35</v>
      </c>
    </row>
    <row r="54" spans="1:27" ht="16.5" x14ac:dyDescent="0.35">
      <c r="A54" s="10" t="s">
        <v>36</v>
      </c>
      <c r="B54" s="11" t="s">
        <v>304</v>
      </c>
      <c r="C54" s="74"/>
      <c r="D54" s="13" t="s">
        <v>36</v>
      </c>
      <c r="E54" s="75" t="s">
        <v>314</v>
      </c>
      <c r="F54" s="76">
        <v>42913</v>
      </c>
      <c r="G54" s="77">
        <v>-240000</v>
      </c>
      <c r="H54" s="78">
        <v>1</v>
      </c>
      <c r="I54" s="77">
        <v>-226415.094339623</v>
      </c>
      <c r="J54" s="79" t="s">
        <v>315</v>
      </c>
      <c r="K54" s="74">
        <v>12</v>
      </c>
      <c r="L54" s="19" t="s">
        <v>316</v>
      </c>
      <c r="M54" s="74"/>
      <c r="N54" s="74" t="s">
        <v>40</v>
      </c>
      <c r="O54" s="72" t="s">
        <v>315</v>
      </c>
      <c r="P54" s="80">
        <v>1</v>
      </c>
      <c r="Q54" s="72">
        <f t="shared" si="4"/>
        <v>-240000</v>
      </c>
      <c r="R54" s="72">
        <f t="shared" si="5"/>
        <v>-226415.094339623</v>
      </c>
      <c r="S54" s="72" t="e">
        <v>#REF!</v>
      </c>
      <c r="T54" s="73" t="e">
        <v>#REF!</v>
      </c>
      <c r="U54" s="72" t="e">
        <v>#REF!</v>
      </c>
      <c r="V54" s="72" t="e">
        <v>#REF!</v>
      </c>
      <c r="W54" s="72" t="e">
        <v>#REF!</v>
      </c>
      <c r="X54" s="73" t="e">
        <v>#REF!</v>
      </c>
      <c r="Y54" s="72" t="e">
        <v>#REF!</v>
      </c>
      <c r="Z54" s="72" t="e">
        <v>#REF!</v>
      </c>
      <c r="AA54" s="72" t="s">
        <v>35</v>
      </c>
    </row>
    <row r="55" spans="1:27" ht="16.5" x14ac:dyDescent="0.35">
      <c r="A55" s="10" t="s">
        <v>36</v>
      </c>
      <c r="B55" s="11" t="s">
        <v>304</v>
      </c>
      <c r="C55" s="74"/>
      <c r="D55" s="13" t="s">
        <v>36</v>
      </c>
      <c r="E55" s="75" t="s">
        <v>317</v>
      </c>
      <c r="F55" s="76">
        <v>42544</v>
      </c>
      <c r="G55" s="77">
        <v>-3380000</v>
      </c>
      <c r="H55" s="78">
        <v>0.97041420118343202</v>
      </c>
      <c r="I55" s="77">
        <v>-3094339.6226415099</v>
      </c>
      <c r="J55" s="79" t="s">
        <v>318</v>
      </c>
      <c r="K55" s="74">
        <v>12</v>
      </c>
      <c r="L55" s="19" t="s">
        <v>319</v>
      </c>
      <c r="M55" s="74"/>
      <c r="N55" s="74" t="s">
        <v>40</v>
      </c>
      <c r="O55" s="72" t="s">
        <v>315</v>
      </c>
      <c r="P55" s="80">
        <v>1</v>
      </c>
      <c r="Q55" s="72">
        <f t="shared" si="4"/>
        <v>-3380000</v>
      </c>
      <c r="R55" s="72">
        <f t="shared" si="5"/>
        <v>-3094339.6226415099</v>
      </c>
      <c r="S55" s="72" t="e">
        <v>#N/A</v>
      </c>
      <c r="T55" s="73" t="e">
        <v>#N/A</v>
      </c>
      <c r="U55" s="72" t="e">
        <v>#N/A</v>
      </c>
      <c r="V55" s="72" t="e">
        <v>#N/A</v>
      </c>
      <c r="W55" s="72" t="e">
        <v>#N/A</v>
      </c>
      <c r="X55" s="73" t="e">
        <v>#N/A</v>
      </c>
      <c r="Y55" s="72" t="e">
        <v>#N/A</v>
      </c>
      <c r="Z55" s="72" t="e">
        <v>#N/A</v>
      </c>
      <c r="AA55" s="72" t="s">
        <v>35</v>
      </c>
    </row>
    <row r="56" spans="1:27" ht="16.5" x14ac:dyDescent="0.35">
      <c r="A56" s="10" t="s">
        <v>36</v>
      </c>
      <c r="B56" s="11" t="s">
        <v>304</v>
      </c>
      <c r="C56" s="74"/>
      <c r="D56" s="13" t="s">
        <v>36</v>
      </c>
      <c r="E56" s="75" t="s">
        <v>317</v>
      </c>
      <c r="F56" s="76">
        <v>42544</v>
      </c>
      <c r="G56" s="77">
        <v>3380000</v>
      </c>
      <c r="H56" s="78">
        <v>0.94579999999999997</v>
      </c>
      <c r="I56" s="77">
        <v>3015852.83018868</v>
      </c>
      <c r="J56" s="79" t="s">
        <v>318</v>
      </c>
      <c r="K56" s="74">
        <v>12</v>
      </c>
      <c r="L56" s="19" t="s">
        <v>319</v>
      </c>
      <c r="M56" s="74"/>
      <c r="N56" s="74" t="s">
        <v>40</v>
      </c>
      <c r="O56" s="72" t="s">
        <v>315</v>
      </c>
      <c r="P56" s="80">
        <v>1</v>
      </c>
      <c r="Q56" s="72">
        <f t="shared" si="4"/>
        <v>3380000</v>
      </c>
      <c r="R56" s="72">
        <f t="shared" si="5"/>
        <v>3015852.83018868</v>
      </c>
      <c r="S56" s="72" t="e">
        <v>#N/A</v>
      </c>
      <c r="T56" s="73" t="e">
        <v>#N/A</v>
      </c>
      <c r="U56" s="72" t="e">
        <v>#N/A</v>
      </c>
      <c r="V56" s="72" t="e">
        <v>#N/A</v>
      </c>
      <c r="W56" s="72" t="e">
        <v>#N/A</v>
      </c>
      <c r="X56" s="73" t="e">
        <v>#N/A</v>
      </c>
      <c r="Y56" s="72" t="e">
        <v>#N/A</v>
      </c>
      <c r="Z56" s="72" t="e">
        <v>#N/A</v>
      </c>
      <c r="AA56" s="72" t="s">
        <v>35</v>
      </c>
    </row>
    <row r="57" spans="1:27" ht="16.5" x14ac:dyDescent="0.35">
      <c r="A57" s="10" t="s">
        <v>36</v>
      </c>
      <c r="B57" s="11" t="s">
        <v>304</v>
      </c>
      <c r="C57" s="74"/>
      <c r="D57" s="13" t="s">
        <v>36</v>
      </c>
      <c r="E57" s="75" t="s">
        <v>320</v>
      </c>
      <c r="F57" s="76">
        <v>43094</v>
      </c>
      <c r="G57" s="77">
        <v>5547000</v>
      </c>
      <c r="H57" s="78">
        <v>0.72419999999999995</v>
      </c>
      <c r="I57" s="77">
        <v>3789752.2641509399</v>
      </c>
      <c r="J57" s="79" t="s">
        <v>318</v>
      </c>
      <c r="K57" s="74">
        <v>12</v>
      </c>
      <c r="L57" s="19" t="s">
        <v>321</v>
      </c>
      <c r="M57" s="74"/>
      <c r="N57" s="74" t="s">
        <v>40</v>
      </c>
      <c r="O57" s="72" t="s">
        <v>322</v>
      </c>
      <c r="P57" s="80">
        <v>1</v>
      </c>
      <c r="Q57" s="72">
        <f t="shared" si="4"/>
        <v>5547000</v>
      </c>
      <c r="R57" s="72">
        <f t="shared" si="5"/>
        <v>3789752.2641509399</v>
      </c>
      <c r="S57" s="72">
        <v>0</v>
      </c>
      <c r="T57" s="73">
        <v>0</v>
      </c>
      <c r="U57" s="72">
        <v>0</v>
      </c>
      <c r="V57" s="72">
        <v>0</v>
      </c>
      <c r="W57" s="72">
        <v>0</v>
      </c>
      <c r="X57" s="73">
        <v>0</v>
      </c>
      <c r="Y57" s="72">
        <v>0</v>
      </c>
      <c r="Z57" s="72">
        <v>0</v>
      </c>
      <c r="AA57" s="72" t="s">
        <v>35</v>
      </c>
    </row>
    <row r="58" spans="1:27" ht="16.5" x14ac:dyDescent="0.35">
      <c r="A58" s="10" t="s">
        <v>36</v>
      </c>
      <c r="B58" s="11" t="s">
        <v>304</v>
      </c>
      <c r="C58" s="74"/>
      <c r="D58" s="13" t="s">
        <v>36</v>
      </c>
      <c r="E58" s="75" t="s">
        <v>320</v>
      </c>
      <c r="F58" s="76">
        <v>43094</v>
      </c>
      <c r="G58" s="77">
        <v>9333000</v>
      </c>
      <c r="H58" s="78">
        <v>0.27350000000000002</v>
      </c>
      <c r="I58" s="77">
        <v>2181688.4615384601</v>
      </c>
      <c r="J58" s="79" t="s">
        <v>318</v>
      </c>
      <c r="K58" s="74">
        <v>12</v>
      </c>
      <c r="L58" s="19" t="s">
        <v>321</v>
      </c>
      <c r="M58" s="74"/>
      <c r="N58" s="74" t="s">
        <v>40</v>
      </c>
      <c r="O58" s="72" t="s">
        <v>322</v>
      </c>
      <c r="P58" s="80">
        <v>1</v>
      </c>
      <c r="Q58" s="72">
        <f t="shared" si="4"/>
        <v>9333000</v>
      </c>
      <c r="R58" s="72">
        <f t="shared" si="5"/>
        <v>2181688.4615384601</v>
      </c>
      <c r="S58" s="72">
        <v>0</v>
      </c>
      <c r="T58" s="73">
        <v>0</v>
      </c>
      <c r="U58" s="72">
        <v>0</v>
      </c>
      <c r="V58" s="72">
        <v>0</v>
      </c>
      <c r="W58" s="72">
        <v>0</v>
      </c>
      <c r="X58" s="73">
        <v>0</v>
      </c>
      <c r="Y58" s="72">
        <v>0</v>
      </c>
      <c r="Z58" s="72">
        <v>0</v>
      </c>
      <c r="AA58" s="72" t="s">
        <v>35</v>
      </c>
    </row>
    <row r="59" spans="1:27" ht="16.5" x14ac:dyDescent="0.35">
      <c r="A59" s="10" t="s">
        <v>36</v>
      </c>
      <c r="B59" s="11" t="s">
        <v>304</v>
      </c>
      <c r="C59" s="74"/>
      <c r="D59" s="13" t="s">
        <v>36</v>
      </c>
      <c r="E59" s="75" t="s">
        <v>323</v>
      </c>
      <c r="F59" s="76">
        <v>43094</v>
      </c>
      <c r="G59" s="77">
        <v>461000</v>
      </c>
      <c r="H59" s="78">
        <v>1</v>
      </c>
      <c r="I59" s="77">
        <v>434905.66037735803</v>
      </c>
      <c r="J59" s="79" t="s">
        <v>322</v>
      </c>
      <c r="K59" s="74">
        <v>12</v>
      </c>
      <c r="L59" s="19" t="s">
        <v>324</v>
      </c>
      <c r="M59" s="74"/>
      <c r="N59" s="74" t="s">
        <v>40</v>
      </c>
      <c r="O59" s="72" t="s">
        <v>322</v>
      </c>
      <c r="P59" s="80">
        <v>1</v>
      </c>
      <c r="Q59" s="72">
        <f t="shared" si="4"/>
        <v>461000</v>
      </c>
      <c r="R59" s="72">
        <f t="shared" si="5"/>
        <v>434905.66037735803</v>
      </c>
      <c r="S59" s="72">
        <v>0</v>
      </c>
      <c r="T59" s="73">
        <v>0</v>
      </c>
      <c r="U59" s="72">
        <v>0</v>
      </c>
      <c r="V59" s="72">
        <v>0</v>
      </c>
      <c r="W59" s="72">
        <v>0</v>
      </c>
      <c r="X59" s="73">
        <v>0</v>
      </c>
      <c r="Y59" s="72">
        <v>0</v>
      </c>
      <c r="Z59" s="72">
        <v>0</v>
      </c>
      <c r="AA59" s="72" t="s">
        <v>35</v>
      </c>
    </row>
    <row r="60" spans="1:27" ht="16.5" x14ac:dyDescent="0.35">
      <c r="A60" s="10" t="s">
        <v>306</v>
      </c>
      <c r="B60" s="11" t="s">
        <v>304</v>
      </c>
      <c r="C60" s="74"/>
      <c r="D60" s="13" t="s">
        <v>306</v>
      </c>
      <c r="E60" s="75" t="s">
        <v>325</v>
      </c>
      <c r="F60" s="76">
        <v>43094</v>
      </c>
      <c r="G60" s="77">
        <v>380000</v>
      </c>
      <c r="H60" s="78">
        <v>0.9</v>
      </c>
      <c r="I60" s="77">
        <v>322641.509433962</v>
      </c>
      <c r="J60" s="79" t="s">
        <v>308</v>
      </c>
      <c r="K60" s="74">
        <v>12</v>
      </c>
      <c r="L60" s="19" t="s">
        <v>309</v>
      </c>
      <c r="M60" s="74"/>
      <c r="N60" s="74" t="s">
        <v>310</v>
      </c>
      <c r="O60" s="72" t="s">
        <v>308</v>
      </c>
      <c r="P60" s="80">
        <v>0.8</v>
      </c>
      <c r="Q60" s="72">
        <f t="shared" si="4"/>
        <v>304000</v>
      </c>
      <c r="R60" s="72">
        <f t="shared" si="5"/>
        <v>258113.20754716962</v>
      </c>
      <c r="S60" s="72" t="s">
        <v>311</v>
      </c>
      <c r="T60" s="80">
        <v>0.2</v>
      </c>
      <c r="U60" s="72">
        <f>G60*T60</f>
        <v>76000</v>
      </c>
      <c r="V60" s="72">
        <f>I60*T60</f>
        <v>64528.301886792404</v>
      </c>
      <c r="W60" s="72">
        <v>0</v>
      </c>
      <c r="X60" s="73">
        <v>0</v>
      </c>
      <c r="Y60" s="72">
        <v>0</v>
      </c>
      <c r="Z60" s="72">
        <v>0</v>
      </c>
      <c r="AA60" s="72" t="s">
        <v>32</v>
      </c>
    </row>
    <row r="61" spans="1:27" ht="16.5" x14ac:dyDescent="0.35">
      <c r="A61" s="10" t="s">
        <v>306</v>
      </c>
      <c r="B61" s="11" t="s">
        <v>304</v>
      </c>
      <c r="C61" s="74"/>
      <c r="D61" s="13" t="s">
        <v>306</v>
      </c>
      <c r="E61" s="75" t="s">
        <v>326</v>
      </c>
      <c r="F61" s="76">
        <v>43094</v>
      </c>
      <c r="G61" s="77">
        <v>2456700</v>
      </c>
      <c r="H61" s="78">
        <v>0.82810681125086505</v>
      </c>
      <c r="I61" s="77">
        <v>1919254.72</v>
      </c>
      <c r="J61" s="79" t="s">
        <v>327</v>
      </c>
      <c r="K61" s="74">
        <v>12</v>
      </c>
      <c r="L61" s="19" t="s">
        <v>328</v>
      </c>
      <c r="M61" s="74"/>
      <c r="N61" s="74" t="s">
        <v>310</v>
      </c>
      <c r="O61" s="72" t="s">
        <v>327</v>
      </c>
      <c r="P61" s="80">
        <v>1</v>
      </c>
      <c r="Q61" s="72">
        <f t="shared" si="4"/>
        <v>2456700</v>
      </c>
      <c r="R61" s="72">
        <f t="shared" si="5"/>
        <v>1919254.72</v>
      </c>
      <c r="S61" s="72">
        <v>0</v>
      </c>
      <c r="T61" s="73">
        <v>0</v>
      </c>
      <c r="U61" s="72">
        <v>0</v>
      </c>
      <c r="V61" s="72">
        <v>0</v>
      </c>
      <c r="W61" s="72">
        <v>0</v>
      </c>
      <c r="X61" s="73">
        <v>0</v>
      </c>
      <c r="Y61" s="72">
        <v>0</v>
      </c>
      <c r="Z61" s="72">
        <v>0</v>
      </c>
      <c r="AA61" s="72" t="s">
        <v>35</v>
      </c>
    </row>
    <row r="62" spans="1:27" ht="16.5" x14ac:dyDescent="0.35">
      <c r="A62" s="10" t="s">
        <v>36</v>
      </c>
      <c r="B62" s="11" t="s">
        <v>304</v>
      </c>
      <c r="C62" s="74"/>
      <c r="D62" s="13" t="s">
        <v>36</v>
      </c>
      <c r="E62" s="75" t="s">
        <v>329</v>
      </c>
      <c r="F62" s="76">
        <v>43095</v>
      </c>
      <c r="G62" s="77">
        <v>498000</v>
      </c>
      <c r="H62" s="78">
        <v>1</v>
      </c>
      <c r="I62" s="77">
        <v>469811.32075471699</v>
      </c>
      <c r="J62" s="79" t="s">
        <v>322</v>
      </c>
      <c r="K62" s="74">
        <v>12</v>
      </c>
      <c r="L62" s="19" t="s">
        <v>330</v>
      </c>
      <c r="M62" s="74"/>
      <c r="N62" s="74" t="s">
        <v>40</v>
      </c>
      <c r="O62" s="72" t="s">
        <v>322</v>
      </c>
      <c r="P62" s="80">
        <v>1</v>
      </c>
      <c r="Q62" s="72">
        <f t="shared" si="4"/>
        <v>498000</v>
      </c>
      <c r="R62" s="72">
        <f t="shared" si="5"/>
        <v>469811.32075471699</v>
      </c>
      <c r="S62" s="72">
        <v>0</v>
      </c>
      <c r="T62" s="73">
        <v>0</v>
      </c>
      <c r="U62" s="72">
        <v>0</v>
      </c>
      <c r="V62" s="72">
        <v>0</v>
      </c>
      <c r="W62" s="72">
        <v>0</v>
      </c>
      <c r="X62" s="73">
        <v>0</v>
      </c>
      <c r="Y62" s="72">
        <v>0</v>
      </c>
      <c r="Z62" s="72">
        <v>0</v>
      </c>
      <c r="AA62" s="72" t="s">
        <v>35</v>
      </c>
    </row>
    <row r="63" spans="1:27" ht="16.5" x14ac:dyDescent="0.35">
      <c r="A63" s="10" t="s">
        <v>7</v>
      </c>
      <c r="B63" s="11" t="s">
        <v>304</v>
      </c>
      <c r="C63" s="74"/>
      <c r="D63" s="13" t="s">
        <v>7</v>
      </c>
      <c r="E63" s="75" t="s">
        <v>331</v>
      </c>
      <c r="F63" s="76">
        <v>43095</v>
      </c>
      <c r="G63" s="77">
        <v>20000000</v>
      </c>
      <c r="H63" s="78">
        <v>0.25490000000000002</v>
      </c>
      <c r="I63" s="77">
        <v>4809433.9622641504</v>
      </c>
      <c r="J63" s="79" t="s">
        <v>332</v>
      </c>
      <c r="K63" s="74">
        <v>12</v>
      </c>
      <c r="L63" s="19" t="s">
        <v>333</v>
      </c>
      <c r="M63" s="74"/>
      <c r="N63" s="74" t="s">
        <v>29</v>
      </c>
      <c r="O63" s="72" t="s">
        <v>332</v>
      </c>
      <c r="P63" s="80">
        <v>1</v>
      </c>
      <c r="Q63" s="72">
        <f t="shared" si="4"/>
        <v>20000000</v>
      </c>
      <c r="R63" s="72">
        <f t="shared" si="5"/>
        <v>4809433.9622641504</v>
      </c>
      <c r="S63" s="72">
        <v>0</v>
      </c>
      <c r="T63" s="73">
        <v>0</v>
      </c>
      <c r="U63" s="72">
        <v>0</v>
      </c>
      <c r="V63" s="72">
        <v>0</v>
      </c>
      <c r="W63" s="72">
        <v>0</v>
      </c>
      <c r="X63" s="73">
        <v>0</v>
      </c>
      <c r="Y63" s="72">
        <v>0</v>
      </c>
      <c r="Z63" s="72">
        <v>0</v>
      </c>
      <c r="AA63" s="72" t="s">
        <v>32</v>
      </c>
    </row>
    <row r="64" spans="1:27" ht="16.5" x14ac:dyDescent="0.35">
      <c r="A64" s="10" t="s">
        <v>36</v>
      </c>
      <c r="B64" s="11" t="s">
        <v>304</v>
      </c>
      <c r="C64" s="74"/>
      <c r="D64" s="13" t="s">
        <v>36</v>
      </c>
      <c r="E64" s="75" t="s">
        <v>334</v>
      </c>
      <c r="F64" s="76">
        <v>43095</v>
      </c>
      <c r="G64" s="77">
        <v>189900</v>
      </c>
      <c r="H64" s="78">
        <v>1</v>
      </c>
      <c r="I64" s="77">
        <v>179150.94339622601</v>
      </c>
      <c r="J64" s="79" t="s">
        <v>315</v>
      </c>
      <c r="K64" s="74">
        <v>12</v>
      </c>
      <c r="L64" s="19" t="s">
        <v>335</v>
      </c>
      <c r="M64" s="74"/>
      <c r="N64" s="74" t="s">
        <v>40</v>
      </c>
      <c r="O64" s="72" t="s">
        <v>315</v>
      </c>
      <c r="P64" s="80">
        <v>1</v>
      </c>
      <c r="Q64" s="72">
        <f t="shared" si="4"/>
        <v>189900</v>
      </c>
      <c r="R64" s="72">
        <f t="shared" si="5"/>
        <v>179150.94339622601</v>
      </c>
      <c r="S64" s="72">
        <v>0</v>
      </c>
      <c r="T64" s="73">
        <v>0</v>
      </c>
      <c r="U64" s="72">
        <v>0</v>
      </c>
      <c r="V64" s="72">
        <v>0</v>
      </c>
      <c r="W64" s="72">
        <v>0</v>
      </c>
      <c r="X64" s="73">
        <v>0</v>
      </c>
      <c r="Y64" s="72">
        <v>0</v>
      </c>
      <c r="Z64" s="72">
        <v>0</v>
      </c>
      <c r="AA64" s="72" t="s">
        <v>35</v>
      </c>
    </row>
    <row r="65" spans="1:27" ht="16.5" x14ac:dyDescent="0.35">
      <c r="A65" s="10" t="s">
        <v>36</v>
      </c>
      <c r="B65" s="11" t="s">
        <v>304</v>
      </c>
      <c r="C65" s="74"/>
      <c r="D65" s="13" t="s">
        <v>36</v>
      </c>
      <c r="E65" s="75" t="s">
        <v>336</v>
      </c>
      <c r="F65" s="76">
        <v>43096</v>
      </c>
      <c r="G65" s="77">
        <v>465000</v>
      </c>
      <c r="H65" s="78">
        <v>1</v>
      </c>
      <c r="I65" s="77">
        <v>438679.24528301897</v>
      </c>
      <c r="J65" s="79" t="s">
        <v>318</v>
      </c>
      <c r="K65" s="74">
        <v>12</v>
      </c>
      <c r="L65" s="19" t="s">
        <v>337</v>
      </c>
      <c r="M65" s="74"/>
      <c r="N65" s="74" t="s">
        <v>40</v>
      </c>
      <c r="O65" s="72" t="s">
        <v>322</v>
      </c>
      <c r="P65" s="80">
        <v>1</v>
      </c>
      <c r="Q65" s="72">
        <f t="shared" si="4"/>
        <v>465000</v>
      </c>
      <c r="R65" s="72">
        <f t="shared" si="5"/>
        <v>438679.24528301897</v>
      </c>
      <c r="S65" s="72">
        <v>0</v>
      </c>
      <c r="T65" s="73">
        <v>0</v>
      </c>
      <c r="U65" s="72">
        <v>0</v>
      </c>
      <c r="V65" s="72">
        <v>0</v>
      </c>
      <c r="W65" s="72">
        <v>0</v>
      </c>
      <c r="X65" s="73">
        <v>0</v>
      </c>
      <c r="Y65" s="72">
        <v>0</v>
      </c>
      <c r="Z65" s="72">
        <v>0</v>
      </c>
      <c r="AA65" s="72" t="s">
        <v>35</v>
      </c>
    </row>
    <row r="66" spans="1:27" ht="16.5" x14ac:dyDescent="0.35">
      <c r="A66" s="10" t="s">
        <v>36</v>
      </c>
      <c r="B66" s="11" t="s">
        <v>304</v>
      </c>
      <c r="C66" s="74"/>
      <c r="D66" s="13" t="s">
        <v>36</v>
      </c>
      <c r="E66" s="75" t="s">
        <v>338</v>
      </c>
      <c r="F66" s="76">
        <v>43097</v>
      </c>
      <c r="G66" s="77">
        <v>3508200</v>
      </c>
      <c r="H66" s="78">
        <v>0.18</v>
      </c>
      <c r="I66" s="77">
        <v>595732.07547169796</v>
      </c>
      <c r="J66" s="79" t="s">
        <v>315</v>
      </c>
      <c r="K66" s="74">
        <v>12</v>
      </c>
      <c r="L66" s="19" t="s">
        <v>313</v>
      </c>
      <c r="M66" s="74"/>
      <c r="N66" s="74" t="s">
        <v>40</v>
      </c>
      <c r="O66" s="72" t="s">
        <v>315</v>
      </c>
      <c r="P66" s="80">
        <v>1</v>
      </c>
      <c r="Q66" s="72">
        <f t="shared" si="4"/>
        <v>3508200</v>
      </c>
      <c r="R66" s="72">
        <f t="shared" si="5"/>
        <v>595732.07547169796</v>
      </c>
      <c r="S66" s="72">
        <v>0</v>
      </c>
      <c r="T66" s="73">
        <v>0</v>
      </c>
      <c r="U66" s="72">
        <v>0</v>
      </c>
      <c r="V66" s="72">
        <v>0</v>
      </c>
      <c r="W66" s="72">
        <v>0</v>
      </c>
      <c r="X66" s="73">
        <v>0</v>
      </c>
      <c r="Y66" s="72">
        <v>0</v>
      </c>
      <c r="Z66" s="72">
        <v>0</v>
      </c>
      <c r="AA66" s="72" t="s">
        <v>35</v>
      </c>
    </row>
    <row r="67" spans="1:27" ht="16.5" x14ac:dyDescent="0.35">
      <c r="A67" s="10" t="s">
        <v>36</v>
      </c>
      <c r="B67" s="11" t="s">
        <v>304</v>
      </c>
      <c r="C67" s="74"/>
      <c r="D67" s="13" t="s">
        <v>36</v>
      </c>
      <c r="E67" s="75" t="s">
        <v>339</v>
      </c>
      <c r="F67" s="76">
        <v>43097</v>
      </c>
      <c r="G67" s="77">
        <v>415000</v>
      </c>
      <c r="H67" s="78">
        <v>0.80720000000000003</v>
      </c>
      <c r="I67" s="77">
        <v>316026.41509433999</v>
      </c>
      <c r="J67" s="79" t="s">
        <v>322</v>
      </c>
      <c r="K67" s="74">
        <v>12</v>
      </c>
      <c r="L67" s="19" t="s">
        <v>340</v>
      </c>
      <c r="M67" s="74"/>
      <c r="N67" s="74" t="s">
        <v>40</v>
      </c>
      <c r="O67" s="72" t="s">
        <v>322</v>
      </c>
      <c r="P67" s="80">
        <v>1</v>
      </c>
      <c r="Q67" s="72">
        <f t="shared" si="4"/>
        <v>415000</v>
      </c>
      <c r="R67" s="72">
        <f t="shared" si="5"/>
        <v>316026.41509433999</v>
      </c>
      <c r="S67" s="72">
        <v>0</v>
      </c>
      <c r="T67" s="73">
        <v>0</v>
      </c>
      <c r="U67" s="72">
        <v>0</v>
      </c>
      <c r="V67" s="72">
        <v>0</v>
      </c>
      <c r="W67" s="72">
        <v>0</v>
      </c>
      <c r="X67" s="73">
        <v>0</v>
      </c>
      <c r="Y67" s="72">
        <v>0</v>
      </c>
      <c r="Z67" s="72">
        <v>0</v>
      </c>
      <c r="AA67" s="72" t="s">
        <v>32</v>
      </c>
    </row>
    <row r="68" spans="1:27" ht="49.5" x14ac:dyDescent="0.35">
      <c r="A68" s="10" t="s">
        <v>36</v>
      </c>
      <c r="B68" s="20" t="s">
        <v>304</v>
      </c>
      <c r="C68" s="20"/>
      <c r="D68" s="10" t="s">
        <v>36</v>
      </c>
      <c r="E68" s="75" t="s">
        <v>312</v>
      </c>
      <c r="F68" s="81">
        <v>43027</v>
      </c>
      <c r="G68" s="22">
        <v>720000</v>
      </c>
      <c r="H68" s="20">
        <v>1</v>
      </c>
      <c r="I68" s="23">
        <v>679245.28301886795</v>
      </c>
      <c r="J68" s="24" t="s">
        <v>305</v>
      </c>
      <c r="K68" s="74">
        <v>10</v>
      </c>
      <c r="L68" s="25" t="s">
        <v>313</v>
      </c>
      <c r="M68" s="20">
        <v>0.06</v>
      </c>
      <c r="N68" s="82" t="s">
        <v>40</v>
      </c>
      <c r="O68" s="72" t="s">
        <v>305</v>
      </c>
      <c r="P68" s="80">
        <v>1</v>
      </c>
      <c r="Q68" s="72">
        <f t="shared" si="4"/>
        <v>720000</v>
      </c>
      <c r="R68" s="72">
        <f t="shared" si="5"/>
        <v>679245.28301886795</v>
      </c>
      <c r="S68" s="72"/>
      <c r="T68" s="73"/>
      <c r="U68" s="72"/>
      <c r="V68" s="72"/>
      <c r="W68" s="72"/>
      <c r="X68" s="73"/>
      <c r="Y68" s="72"/>
      <c r="Z68" s="72"/>
      <c r="AA68" s="72" t="s">
        <v>35</v>
      </c>
    </row>
    <row r="69" spans="1:27" ht="49.5" x14ac:dyDescent="0.35">
      <c r="A69" s="10" t="s">
        <v>36</v>
      </c>
      <c r="B69" s="20" t="s">
        <v>304</v>
      </c>
      <c r="C69" s="20"/>
      <c r="D69" s="10" t="s">
        <v>36</v>
      </c>
      <c r="E69" s="75" t="s">
        <v>341</v>
      </c>
      <c r="F69" s="81">
        <v>43039</v>
      </c>
      <c r="G69" s="22">
        <v>480000</v>
      </c>
      <c r="H69" s="20">
        <v>0.89580000000000004</v>
      </c>
      <c r="I69" s="23">
        <v>405645.28301886801</v>
      </c>
      <c r="J69" s="24" t="s">
        <v>322</v>
      </c>
      <c r="K69" s="74">
        <v>10</v>
      </c>
      <c r="L69" s="25" t="s">
        <v>342</v>
      </c>
      <c r="M69" s="20">
        <v>0.06</v>
      </c>
      <c r="N69" s="82" t="s">
        <v>40</v>
      </c>
      <c r="O69" s="72" t="s">
        <v>322</v>
      </c>
      <c r="P69" s="80">
        <v>1</v>
      </c>
      <c r="Q69" s="72">
        <f t="shared" si="4"/>
        <v>480000</v>
      </c>
      <c r="R69" s="72">
        <f t="shared" si="5"/>
        <v>405645.28301886801</v>
      </c>
      <c r="S69" s="72"/>
      <c r="T69" s="73"/>
      <c r="U69" s="72"/>
      <c r="V69" s="72"/>
      <c r="W69" s="72"/>
      <c r="X69" s="73"/>
      <c r="Y69" s="72"/>
      <c r="Z69" s="72"/>
      <c r="AA69" s="72" t="s">
        <v>35</v>
      </c>
    </row>
    <row r="70" spans="1:27" ht="49.5" x14ac:dyDescent="0.35">
      <c r="A70" s="10" t="s">
        <v>36</v>
      </c>
      <c r="B70" s="11" t="s">
        <v>304</v>
      </c>
      <c r="C70" s="74"/>
      <c r="D70" s="13" t="s">
        <v>36</v>
      </c>
      <c r="E70" s="75" t="s">
        <v>343</v>
      </c>
      <c r="F70" s="76">
        <v>43042</v>
      </c>
      <c r="G70" s="77">
        <v>498000</v>
      </c>
      <c r="H70" s="78">
        <v>1</v>
      </c>
      <c r="I70" s="77">
        <v>469811.32075471699</v>
      </c>
      <c r="J70" s="79" t="s">
        <v>322</v>
      </c>
      <c r="K70" s="74">
        <v>11</v>
      </c>
      <c r="L70" s="47" t="s">
        <v>344</v>
      </c>
      <c r="M70" s="74"/>
      <c r="N70" s="74" t="s">
        <v>40</v>
      </c>
      <c r="O70" s="72" t="s">
        <v>322</v>
      </c>
      <c r="P70" s="80">
        <v>1</v>
      </c>
      <c r="Q70" s="72">
        <f t="shared" si="4"/>
        <v>498000</v>
      </c>
      <c r="R70" s="72">
        <f t="shared" si="5"/>
        <v>469811.32075471699</v>
      </c>
      <c r="S70" s="72"/>
      <c r="T70" s="73"/>
      <c r="U70" s="72"/>
      <c r="V70" s="72"/>
      <c r="W70" s="72"/>
      <c r="X70" s="73"/>
      <c r="Y70" s="72"/>
      <c r="Z70" s="72"/>
      <c r="AA70" s="72" t="s">
        <v>35</v>
      </c>
    </row>
    <row r="71" spans="1:27" ht="33" x14ac:dyDescent="0.35">
      <c r="A71" s="10" t="s">
        <v>36</v>
      </c>
      <c r="B71" s="11" t="s">
        <v>304</v>
      </c>
      <c r="C71" s="74"/>
      <c r="D71" s="13" t="s">
        <v>36</v>
      </c>
      <c r="E71" s="75" t="s">
        <v>345</v>
      </c>
      <c r="F71" s="76">
        <v>43047</v>
      </c>
      <c r="G71" s="77">
        <v>480000</v>
      </c>
      <c r="H71" s="78">
        <v>1</v>
      </c>
      <c r="I71" s="77">
        <v>452830.18867924501</v>
      </c>
      <c r="J71" s="79" t="s">
        <v>322</v>
      </c>
      <c r="K71" s="74">
        <v>11</v>
      </c>
      <c r="L71" s="47" t="s">
        <v>346</v>
      </c>
      <c r="M71" s="74"/>
      <c r="N71" s="74" t="s">
        <v>40</v>
      </c>
      <c r="O71" s="72" t="s">
        <v>322</v>
      </c>
      <c r="P71" s="80">
        <v>1</v>
      </c>
      <c r="Q71" s="72">
        <f t="shared" si="4"/>
        <v>480000</v>
      </c>
      <c r="R71" s="72">
        <f t="shared" si="5"/>
        <v>452830.18867924501</v>
      </c>
      <c r="S71" s="72"/>
      <c r="T71" s="73"/>
      <c r="U71" s="72"/>
      <c r="V71" s="72"/>
      <c r="W71" s="72"/>
      <c r="X71" s="73"/>
      <c r="Y71" s="72"/>
      <c r="Z71" s="72"/>
      <c r="AA71" s="72" t="s">
        <v>35</v>
      </c>
    </row>
    <row r="72" spans="1:27" ht="49.5" x14ac:dyDescent="0.35">
      <c r="A72" s="10" t="s">
        <v>36</v>
      </c>
      <c r="B72" s="11" t="s">
        <v>304</v>
      </c>
      <c r="C72" s="74"/>
      <c r="D72" s="13" t="s">
        <v>36</v>
      </c>
      <c r="E72" s="75" t="s">
        <v>347</v>
      </c>
      <c r="F72" s="76">
        <v>43056</v>
      </c>
      <c r="G72" s="77">
        <v>475000</v>
      </c>
      <c r="H72" s="78">
        <v>1</v>
      </c>
      <c r="I72" s="77">
        <v>448113.20754716999</v>
      </c>
      <c r="J72" s="79" t="s">
        <v>318</v>
      </c>
      <c r="K72" s="74">
        <v>11</v>
      </c>
      <c r="L72" s="47" t="s">
        <v>348</v>
      </c>
      <c r="M72" s="74"/>
      <c r="N72" s="74" t="s">
        <v>40</v>
      </c>
      <c r="O72" s="72" t="s">
        <v>322</v>
      </c>
      <c r="P72" s="80">
        <v>1</v>
      </c>
      <c r="Q72" s="72">
        <f t="shared" si="4"/>
        <v>475000</v>
      </c>
      <c r="R72" s="72">
        <f t="shared" si="5"/>
        <v>448113.20754716999</v>
      </c>
      <c r="S72" s="72"/>
      <c r="T72" s="73"/>
      <c r="U72" s="72"/>
      <c r="V72" s="72"/>
      <c r="W72" s="72"/>
      <c r="X72" s="73"/>
      <c r="Y72" s="72"/>
      <c r="Z72" s="72"/>
      <c r="AA72" s="72" t="s">
        <v>35</v>
      </c>
    </row>
    <row r="73" spans="1:27" ht="33" x14ac:dyDescent="0.35">
      <c r="A73" s="10" t="s">
        <v>36</v>
      </c>
      <c r="B73" s="11" t="s">
        <v>304</v>
      </c>
      <c r="C73" s="74"/>
      <c r="D73" s="13" t="s">
        <v>36</v>
      </c>
      <c r="E73" s="75" t="s">
        <v>349</v>
      </c>
      <c r="F73" s="76">
        <v>43066</v>
      </c>
      <c r="G73" s="77">
        <v>498000</v>
      </c>
      <c r="H73" s="78">
        <v>1</v>
      </c>
      <c r="I73" s="77">
        <v>469811.32075471699</v>
      </c>
      <c r="J73" s="79" t="s">
        <v>322</v>
      </c>
      <c r="K73" s="74">
        <v>11</v>
      </c>
      <c r="L73" s="47" t="s">
        <v>350</v>
      </c>
      <c r="M73" s="74"/>
      <c r="N73" s="74" t="s">
        <v>40</v>
      </c>
      <c r="O73" s="72" t="s">
        <v>322</v>
      </c>
      <c r="P73" s="80">
        <v>1</v>
      </c>
      <c r="Q73" s="72">
        <f t="shared" si="4"/>
        <v>498000</v>
      </c>
      <c r="R73" s="72">
        <f t="shared" si="5"/>
        <v>469811.32075471699</v>
      </c>
      <c r="S73" s="72"/>
      <c r="T73" s="73"/>
      <c r="U73" s="72"/>
      <c r="V73" s="72"/>
      <c r="W73" s="72"/>
      <c r="X73" s="73"/>
      <c r="Y73" s="72"/>
      <c r="Z73" s="72"/>
      <c r="AA73" s="72" t="s">
        <v>35</v>
      </c>
    </row>
    <row r="74" spans="1:27" ht="49.5" x14ac:dyDescent="0.35">
      <c r="A74" s="10" t="s">
        <v>36</v>
      </c>
      <c r="B74" s="11" t="s">
        <v>304</v>
      </c>
      <c r="C74" s="74"/>
      <c r="D74" s="13" t="s">
        <v>36</v>
      </c>
      <c r="E74" s="75" t="s">
        <v>351</v>
      </c>
      <c r="F74" s="76">
        <v>42986</v>
      </c>
      <c r="G74" s="77">
        <v>-880000</v>
      </c>
      <c r="H74" s="78">
        <v>0.94889999999999997</v>
      </c>
      <c r="I74" s="77">
        <v>-787766.03773584904</v>
      </c>
      <c r="J74" s="79" t="s">
        <v>315</v>
      </c>
      <c r="K74" s="74">
        <v>11</v>
      </c>
      <c r="L74" s="47" t="s">
        <v>313</v>
      </c>
      <c r="M74" s="74"/>
      <c r="N74" s="74" t="s">
        <v>40</v>
      </c>
      <c r="O74" s="72" t="s">
        <v>315</v>
      </c>
      <c r="P74" s="80">
        <v>1</v>
      </c>
      <c r="Q74" s="72">
        <f t="shared" si="4"/>
        <v>-880000</v>
      </c>
      <c r="R74" s="72">
        <f t="shared" si="5"/>
        <v>-787766.03773584904</v>
      </c>
      <c r="S74" s="72"/>
      <c r="T74" s="73"/>
      <c r="U74" s="72"/>
      <c r="V74" s="72"/>
      <c r="W74" s="72"/>
      <c r="X74" s="73"/>
      <c r="Y74" s="72"/>
      <c r="Z74" s="72"/>
      <c r="AA74" s="72" t="s">
        <v>35</v>
      </c>
    </row>
    <row r="75" spans="1:27" ht="49.5" x14ac:dyDescent="0.35">
      <c r="A75" s="10" t="s">
        <v>36</v>
      </c>
      <c r="B75" s="11" t="s">
        <v>304</v>
      </c>
      <c r="C75" s="74"/>
      <c r="D75" s="13" t="s">
        <v>36</v>
      </c>
      <c r="E75" s="75" t="s">
        <v>351</v>
      </c>
      <c r="F75" s="76">
        <v>42986</v>
      </c>
      <c r="G75" s="77">
        <v>880000</v>
      </c>
      <c r="H75" s="78">
        <v>0.93689999999999996</v>
      </c>
      <c r="I75" s="77">
        <v>777803.77358490601</v>
      </c>
      <c r="J75" s="79" t="s">
        <v>315</v>
      </c>
      <c r="K75" s="74">
        <v>11</v>
      </c>
      <c r="L75" s="47" t="s">
        <v>313</v>
      </c>
      <c r="M75" s="74"/>
      <c r="N75" s="74" t="s">
        <v>40</v>
      </c>
      <c r="O75" s="72" t="s">
        <v>315</v>
      </c>
      <c r="P75" s="80">
        <v>1</v>
      </c>
      <c r="Q75" s="72">
        <f t="shared" si="4"/>
        <v>880000</v>
      </c>
      <c r="R75" s="72">
        <f t="shared" si="5"/>
        <v>777803.77358490601</v>
      </c>
      <c r="S75" s="72"/>
      <c r="T75" s="73"/>
      <c r="U75" s="72"/>
      <c r="V75" s="72"/>
      <c r="W75" s="72"/>
      <c r="X75" s="73"/>
      <c r="Y75" s="72"/>
      <c r="Z75" s="72"/>
      <c r="AA75" s="72" t="s">
        <v>35</v>
      </c>
    </row>
    <row r="76" spans="1:27" ht="66" x14ac:dyDescent="0.35">
      <c r="A76" s="10" t="s">
        <v>71</v>
      </c>
      <c r="B76" s="11" t="s">
        <v>304</v>
      </c>
      <c r="C76" s="74"/>
      <c r="D76" s="13" t="s">
        <v>7</v>
      </c>
      <c r="E76" s="75" t="s">
        <v>352</v>
      </c>
      <c r="F76" s="76">
        <v>43069</v>
      </c>
      <c r="G76" s="77">
        <v>4499703</v>
      </c>
      <c r="H76" s="78">
        <v>0.24879999999999999</v>
      </c>
      <c r="I76" s="77">
        <v>956859.92</v>
      </c>
      <c r="J76" s="79" t="s">
        <v>353</v>
      </c>
      <c r="K76" s="74">
        <v>11</v>
      </c>
      <c r="L76" s="47" t="s">
        <v>354</v>
      </c>
      <c r="M76" s="74"/>
      <c r="N76" s="74" t="s">
        <v>74</v>
      </c>
      <c r="O76" s="72" t="s">
        <v>353</v>
      </c>
      <c r="P76" s="80">
        <v>1</v>
      </c>
      <c r="Q76" s="72">
        <f t="shared" si="4"/>
        <v>4499703</v>
      </c>
      <c r="R76" s="72">
        <f t="shared" si="5"/>
        <v>956859.92</v>
      </c>
      <c r="S76" s="72"/>
      <c r="T76" s="73"/>
      <c r="U76" s="72"/>
      <c r="V76" s="72"/>
      <c r="W76" s="72"/>
      <c r="X76" s="73"/>
      <c r="Y76" s="72"/>
      <c r="Z76" s="72"/>
      <c r="AA76" s="72" t="s">
        <v>32</v>
      </c>
    </row>
    <row r="77" spans="1:27" ht="49.5" x14ac:dyDescent="0.35">
      <c r="A77" s="10" t="s">
        <v>7</v>
      </c>
      <c r="B77" s="11" t="s">
        <v>304</v>
      </c>
      <c r="C77" s="74"/>
      <c r="D77" s="13" t="s">
        <v>7</v>
      </c>
      <c r="E77" s="75" t="s">
        <v>355</v>
      </c>
      <c r="F77" s="76">
        <v>43069</v>
      </c>
      <c r="G77" s="77">
        <v>29475</v>
      </c>
      <c r="H77" s="78">
        <v>1</v>
      </c>
      <c r="I77" s="77">
        <v>27806.603773584899</v>
      </c>
      <c r="J77" s="79" t="s">
        <v>311</v>
      </c>
      <c r="K77" s="74">
        <v>11</v>
      </c>
      <c r="L77" s="47" t="s">
        <v>356</v>
      </c>
      <c r="M77" s="74"/>
      <c r="N77" s="74" t="s">
        <v>29</v>
      </c>
      <c r="O77" s="72" t="s">
        <v>311</v>
      </c>
      <c r="P77" s="80">
        <v>1</v>
      </c>
      <c r="Q77" s="72">
        <f t="shared" si="4"/>
        <v>29475</v>
      </c>
      <c r="R77" s="72">
        <f t="shared" si="5"/>
        <v>27806.603773584899</v>
      </c>
      <c r="S77" s="72"/>
      <c r="T77" s="73"/>
      <c r="U77" s="72"/>
      <c r="V77" s="72"/>
      <c r="W77" s="72"/>
      <c r="X77" s="73"/>
      <c r="Y77" s="72"/>
      <c r="Z77" s="72"/>
      <c r="AA77" s="72" t="s">
        <v>32</v>
      </c>
    </row>
    <row r="78" spans="1:27" ht="16.5" x14ac:dyDescent="0.35">
      <c r="A78" s="10" t="s">
        <v>7</v>
      </c>
      <c r="B78" s="11" t="s">
        <v>405</v>
      </c>
      <c r="C78" s="12"/>
      <c r="D78" s="13" t="s">
        <v>7</v>
      </c>
      <c r="E78" s="14" t="s">
        <v>406</v>
      </c>
      <c r="F78" s="15">
        <v>43082</v>
      </c>
      <c r="G78" s="16">
        <v>465000</v>
      </c>
      <c r="H78" s="17">
        <v>0.3</v>
      </c>
      <c r="I78" s="16">
        <v>131603.77358490566</v>
      </c>
      <c r="J78" s="18" t="s">
        <v>402</v>
      </c>
      <c r="K78" s="12">
        <v>12</v>
      </c>
      <c r="L78" s="19" t="s">
        <v>407</v>
      </c>
      <c r="M78" s="12"/>
      <c r="N78" s="12" t="s">
        <v>29</v>
      </c>
      <c r="O78" s="8" t="s">
        <v>408</v>
      </c>
      <c r="P78" s="9">
        <v>1</v>
      </c>
      <c r="Q78" s="101">
        <f t="shared" si="4"/>
        <v>465000</v>
      </c>
      <c r="R78" s="101">
        <f t="shared" si="5"/>
        <v>131603.77358490566</v>
      </c>
      <c r="S78" s="8">
        <v>0</v>
      </c>
      <c r="T78" s="9">
        <v>0</v>
      </c>
      <c r="U78" s="8">
        <f t="shared" ref="U78:U87" si="6">G78*T78</f>
        <v>0</v>
      </c>
      <c r="V78" s="8">
        <f t="shared" ref="V78:V87" si="7">I78*T78</f>
        <v>0</v>
      </c>
      <c r="W78" s="8">
        <v>0</v>
      </c>
      <c r="X78" s="9">
        <v>0</v>
      </c>
      <c r="Y78" s="8">
        <v>0</v>
      </c>
      <c r="Z78" s="8">
        <v>0</v>
      </c>
      <c r="AA78" s="8" t="s">
        <v>32</v>
      </c>
    </row>
    <row r="79" spans="1:27" ht="16.5" x14ac:dyDescent="0.35">
      <c r="A79" s="10" t="s">
        <v>36</v>
      </c>
      <c r="B79" s="11" t="s">
        <v>405</v>
      </c>
      <c r="C79" s="12"/>
      <c r="D79" s="13" t="s">
        <v>36</v>
      </c>
      <c r="E79" s="14" t="s">
        <v>409</v>
      </c>
      <c r="F79" s="15">
        <v>43088</v>
      </c>
      <c r="G79" s="16">
        <v>98000</v>
      </c>
      <c r="H79" s="17">
        <v>1</v>
      </c>
      <c r="I79" s="16">
        <v>92452.830188679247</v>
      </c>
      <c r="J79" s="18" t="s">
        <v>410</v>
      </c>
      <c r="K79" s="12">
        <v>12</v>
      </c>
      <c r="L79" s="19" t="s">
        <v>411</v>
      </c>
      <c r="M79" s="12"/>
      <c r="N79" s="12" t="s">
        <v>40</v>
      </c>
      <c r="O79" s="8" t="s">
        <v>412</v>
      </c>
      <c r="P79" s="9">
        <v>1</v>
      </c>
      <c r="Q79" s="101">
        <f t="shared" si="4"/>
        <v>98000</v>
      </c>
      <c r="R79" s="101">
        <f t="shared" si="5"/>
        <v>92452.830188679247</v>
      </c>
      <c r="S79" s="8">
        <v>0</v>
      </c>
      <c r="T79" s="9">
        <v>0</v>
      </c>
      <c r="U79" s="8">
        <f t="shared" si="6"/>
        <v>0</v>
      </c>
      <c r="V79" s="8">
        <f t="shared" si="7"/>
        <v>0</v>
      </c>
      <c r="W79" s="8">
        <v>0</v>
      </c>
      <c r="X79" s="9">
        <v>0</v>
      </c>
      <c r="Y79" s="8">
        <v>0</v>
      </c>
      <c r="Z79" s="8">
        <v>0</v>
      </c>
      <c r="AA79" s="8" t="s">
        <v>32</v>
      </c>
    </row>
    <row r="80" spans="1:27" ht="16.5" x14ac:dyDescent="0.35">
      <c r="A80" s="10" t="s">
        <v>36</v>
      </c>
      <c r="B80" s="11" t="s">
        <v>405</v>
      </c>
      <c r="C80" s="12"/>
      <c r="D80" s="13" t="s">
        <v>36</v>
      </c>
      <c r="E80" s="14" t="s">
        <v>413</v>
      </c>
      <c r="F80" s="15">
        <v>43063</v>
      </c>
      <c r="G80" s="16">
        <v>-2280000</v>
      </c>
      <c r="H80" s="17">
        <v>0.93420000000000003</v>
      </c>
      <c r="I80" s="16">
        <v>-2009411.3207547169</v>
      </c>
      <c r="J80" s="18" t="s">
        <v>410</v>
      </c>
      <c r="K80" s="12">
        <v>12</v>
      </c>
      <c r="L80" s="19" t="s">
        <v>414</v>
      </c>
      <c r="M80" s="12"/>
      <c r="N80" s="12" t="s">
        <v>40</v>
      </c>
      <c r="O80" s="8" t="s">
        <v>412</v>
      </c>
      <c r="P80" s="9">
        <v>0.5</v>
      </c>
      <c r="Q80" s="101">
        <f t="shared" si="4"/>
        <v>-1140000</v>
      </c>
      <c r="R80" s="101">
        <f t="shared" si="5"/>
        <v>-1004705.6603773584</v>
      </c>
      <c r="S80" s="8" t="s">
        <v>408</v>
      </c>
      <c r="T80" s="9">
        <v>0.5</v>
      </c>
      <c r="U80" s="8">
        <f t="shared" si="6"/>
        <v>-1140000</v>
      </c>
      <c r="V80" s="8">
        <f t="shared" si="7"/>
        <v>-1004705.6603773584</v>
      </c>
      <c r="W80" s="8">
        <v>0</v>
      </c>
      <c r="X80" s="9">
        <v>0</v>
      </c>
      <c r="Y80" s="8">
        <v>0</v>
      </c>
      <c r="Z80" s="8">
        <v>0</v>
      </c>
      <c r="AA80" s="8" t="s">
        <v>32</v>
      </c>
    </row>
    <row r="81" spans="1:29" ht="16.5" x14ac:dyDescent="0.35">
      <c r="A81" s="10" t="s">
        <v>36</v>
      </c>
      <c r="B81" s="11" t="s">
        <v>405</v>
      </c>
      <c r="C81" s="12"/>
      <c r="D81" s="13" t="s">
        <v>36</v>
      </c>
      <c r="E81" s="14" t="s">
        <v>413</v>
      </c>
      <c r="F81" s="15">
        <v>43063</v>
      </c>
      <c r="G81" s="16">
        <v>2280000</v>
      </c>
      <c r="H81" s="17">
        <v>0.90810000000000002</v>
      </c>
      <c r="I81" s="16">
        <v>1953271.6981132075</v>
      </c>
      <c r="J81" s="18" t="s">
        <v>410</v>
      </c>
      <c r="K81" s="12">
        <v>12</v>
      </c>
      <c r="L81" s="19" t="s">
        <v>414</v>
      </c>
      <c r="M81" s="12"/>
      <c r="N81" s="12" t="s">
        <v>40</v>
      </c>
      <c r="O81" s="8" t="s">
        <v>412</v>
      </c>
      <c r="P81" s="9">
        <v>0.5</v>
      </c>
      <c r="Q81" s="101">
        <f t="shared" si="4"/>
        <v>1140000</v>
      </c>
      <c r="R81" s="101">
        <f t="shared" si="5"/>
        <v>976635.84905660374</v>
      </c>
      <c r="S81" s="8" t="s">
        <v>408</v>
      </c>
      <c r="T81" s="9">
        <v>0.5</v>
      </c>
      <c r="U81" s="8">
        <f t="shared" si="6"/>
        <v>1140000</v>
      </c>
      <c r="V81" s="8">
        <f t="shared" si="7"/>
        <v>976635.84905660374</v>
      </c>
      <c r="W81" s="8">
        <v>0</v>
      </c>
      <c r="X81" s="9">
        <v>0</v>
      </c>
      <c r="Y81" s="8">
        <v>0</v>
      </c>
      <c r="Z81" s="8">
        <v>0</v>
      </c>
      <c r="AA81" s="8" t="s">
        <v>32</v>
      </c>
    </row>
    <row r="82" spans="1:29" ht="16.5" x14ac:dyDescent="0.35">
      <c r="A82" s="10" t="s">
        <v>36</v>
      </c>
      <c r="B82" s="11" t="s">
        <v>405</v>
      </c>
      <c r="C82" s="12"/>
      <c r="D82" s="13" t="s">
        <v>36</v>
      </c>
      <c r="E82" s="14" t="s">
        <v>415</v>
      </c>
      <c r="F82" s="15">
        <v>43095</v>
      </c>
      <c r="G82" s="16">
        <v>5700000</v>
      </c>
      <c r="H82" s="17">
        <v>0.76319999999999999</v>
      </c>
      <c r="I82" s="16">
        <v>4104000</v>
      </c>
      <c r="J82" s="18" t="s">
        <v>410</v>
      </c>
      <c r="K82" s="12">
        <v>12</v>
      </c>
      <c r="L82" s="19" t="s">
        <v>416</v>
      </c>
      <c r="M82" s="12"/>
      <c r="N82" s="12" t="s">
        <v>40</v>
      </c>
      <c r="O82" s="8" t="s">
        <v>412</v>
      </c>
      <c r="P82" s="9">
        <v>1</v>
      </c>
      <c r="Q82" s="166">
        <f t="shared" si="4"/>
        <v>5700000</v>
      </c>
      <c r="R82" s="166">
        <f t="shared" si="5"/>
        <v>4104000</v>
      </c>
      <c r="S82" s="167">
        <v>0</v>
      </c>
      <c r="T82" s="172">
        <v>0</v>
      </c>
      <c r="U82" s="167">
        <f t="shared" si="6"/>
        <v>0</v>
      </c>
      <c r="V82" s="167">
        <f t="shared" si="7"/>
        <v>0</v>
      </c>
      <c r="W82" s="167">
        <v>0</v>
      </c>
      <c r="X82" s="172">
        <v>0</v>
      </c>
      <c r="Y82" s="167">
        <v>0</v>
      </c>
      <c r="Z82" s="167">
        <v>0</v>
      </c>
      <c r="AA82" s="167" t="s">
        <v>32</v>
      </c>
    </row>
    <row r="83" spans="1:29" ht="16.5" x14ac:dyDescent="0.35">
      <c r="A83" s="10" t="s">
        <v>36</v>
      </c>
      <c r="B83" s="11" t="s">
        <v>405</v>
      </c>
      <c r="C83" s="12"/>
      <c r="D83" s="13" t="s">
        <v>36</v>
      </c>
      <c r="E83" s="14" t="s">
        <v>415</v>
      </c>
      <c r="F83" s="15">
        <v>43095</v>
      </c>
      <c r="G83" s="16">
        <v>19633660</v>
      </c>
      <c r="H83" s="17">
        <v>8.6099999999999996E-2</v>
      </c>
      <c r="I83" s="16">
        <v>1444836.0051282051</v>
      </c>
      <c r="J83" s="18" t="s">
        <v>410</v>
      </c>
      <c r="K83" s="12">
        <v>12</v>
      </c>
      <c r="L83" s="19" t="s">
        <v>416</v>
      </c>
      <c r="M83" s="12"/>
      <c r="N83" s="12" t="s">
        <v>40</v>
      </c>
      <c r="O83" s="8" t="s">
        <v>412</v>
      </c>
      <c r="P83" s="9">
        <v>1</v>
      </c>
      <c r="Q83" s="101">
        <f t="shared" si="4"/>
        <v>19633660</v>
      </c>
      <c r="R83" s="101">
        <f t="shared" si="5"/>
        <v>1444836.0051282051</v>
      </c>
      <c r="S83" s="8">
        <v>0</v>
      </c>
      <c r="T83" s="9">
        <v>0</v>
      </c>
      <c r="U83" s="8">
        <f t="shared" si="6"/>
        <v>0</v>
      </c>
      <c r="V83" s="8">
        <f t="shared" si="7"/>
        <v>0</v>
      </c>
      <c r="W83" s="8">
        <v>0</v>
      </c>
      <c r="X83" s="9">
        <v>0</v>
      </c>
      <c r="Y83" s="8">
        <v>0</v>
      </c>
      <c r="Z83" s="8">
        <v>0</v>
      </c>
      <c r="AA83" s="8" t="s">
        <v>32</v>
      </c>
      <c r="AB83" s="176"/>
      <c r="AC83" s="176"/>
    </row>
    <row r="84" spans="1:29" ht="33" x14ac:dyDescent="0.35">
      <c r="A84" s="10" t="s">
        <v>36</v>
      </c>
      <c r="B84" s="20" t="s">
        <v>417</v>
      </c>
      <c r="C84" s="20"/>
      <c r="D84" s="10" t="s">
        <v>36</v>
      </c>
      <c r="E84" s="14" t="s">
        <v>418</v>
      </c>
      <c r="F84" s="21">
        <v>43026</v>
      </c>
      <c r="G84" s="22">
        <v>30000</v>
      </c>
      <c r="H84" s="20">
        <v>1</v>
      </c>
      <c r="I84" s="23">
        <v>28301.886792452828</v>
      </c>
      <c r="J84" s="24" t="s">
        <v>318</v>
      </c>
      <c r="K84" s="12">
        <v>10</v>
      </c>
      <c r="L84" s="25" t="s">
        <v>419</v>
      </c>
      <c r="M84" s="20">
        <v>0.06</v>
      </c>
      <c r="N84" s="26" t="s">
        <v>40</v>
      </c>
      <c r="O84" s="8" t="s">
        <v>412</v>
      </c>
      <c r="P84" s="9">
        <v>1</v>
      </c>
      <c r="Q84" s="101">
        <f t="shared" si="4"/>
        <v>30000</v>
      </c>
      <c r="R84" s="101">
        <f t="shared" si="5"/>
        <v>28301.886792452828</v>
      </c>
      <c r="S84" s="8"/>
      <c r="T84" s="9"/>
      <c r="U84" s="8">
        <f t="shared" si="6"/>
        <v>0</v>
      </c>
      <c r="V84" s="8">
        <f t="shared" si="7"/>
        <v>0</v>
      </c>
      <c r="W84" s="8"/>
      <c r="X84" s="9"/>
      <c r="Y84" s="8"/>
      <c r="Z84" s="8"/>
      <c r="AA84" s="8"/>
      <c r="AB84" s="176"/>
      <c r="AC84" s="176"/>
    </row>
    <row r="85" spans="1:29" ht="49.5" x14ac:dyDescent="0.35">
      <c r="A85" s="10" t="s">
        <v>71</v>
      </c>
      <c r="B85" s="20" t="s">
        <v>417</v>
      </c>
      <c r="C85" s="20"/>
      <c r="D85" s="10" t="s">
        <v>7</v>
      </c>
      <c r="E85" s="14" t="s">
        <v>420</v>
      </c>
      <c r="F85" s="21">
        <v>43038</v>
      </c>
      <c r="G85" s="22">
        <v>3495420</v>
      </c>
      <c r="H85" s="20">
        <v>0.08</v>
      </c>
      <c r="I85" s="23">
        <v>239003.07692307691</v>
      </c>
      <c r="J85" s="24" t="s">
        <v>410</v>
      </c>
      <c r="K85" s="12">
        <v>10</v>
      </c>
      <c r="L85" s="25" t="s">
        <v>421</v>
      </c>
      <c r="M85" s="20">
        <v>0.17</v>
      </c>
      <c r="N85" s="26" t="s">
        <v>74</v>
      </c>
      <c r="O85" s="8" t="s">
        <v>412</v>
      </c>
      <c r="P85" s="9">
        <v>0.5</v>
      </c>
      <c r="Q85" s="101">
        <f t="shared" si="4"/>
        <v>1747710</v>
      </c>
      <c r="R85" s="101">
        <f t="shared" si="5"/>
        <v>119501.53846153845</v>
      </c>
      <c r="S85" s="8" t="s">
        <v>422</v>
      </c>
      <c r="T85" s="9">
        <v>0.5</v>
      </c>
      <c r="U85" s="8">
        <f t="shared" si="6"/>
        <v>1747710</v>
      </c>
      <c r="V85" s="8">
        <f t="shared" si="7"/>
        <v>119501.53846153845</v>
      </c>
      <c r="W85" s="8"/>
      <c r="X85" s="9"/>
      <c r="Y85" s="8"/>
      <c r="Z85" s="8"/>
      <c r="AA85" s="8"/>
      <c r="AB85" s="176"/>
      <c r="AC85" s="176"/>
    </row>
    <row r="86" spans="1:29" ht="49.5" x14ac:dyDescent="0.35">
      <c r="A86" s="10" t="s">
        <v>36</v>
      </c>
      <c r="B86" s="11" t="s">
        <v>404</v>
      </c>
      <c r="C86" s="12"/>
      <c r="D86" s="13" t="s">
        <v>36</v>
      </c>
      <c r="E86" s="14" t="s">
        <v>413</v>
      </c>
      <c r="F86" s="15">
        <v>43063</v>
      </c>
      <c r="G86" s="16">
        <v>2280000</v>
      </c>
      <c r="H86" s="17">
        <v>0.93420000000000003</v>
      </c>
      <c r="I86" s="16">
        <v>2009411.3207547169</v>
      </c>
      <c r="J86" s="18" t="s">
        <v>410</v>
      </c>
      <c r="K86" s="12">
        <v>11</v>
      </c>
      <c r="L86" s="47" t="s">
        <v>414</v>
      </c>
      <c r="M86" s="12"/>
      <c r="N86" s="12" t="s">
        <v>40</v>
      </c>
      <c r="O86" s="8" t="s">
        <v>412</v>
      </c>
      <c r="P86" s="9">
        <v>0.5</v>
      </c>
      <c r="Q86" s="101">
        <f t="shared" si="4"/>
        <v>1140000</v>
      </c>
      <c r="R86" s="101">
        <f t="shared" si="5"/>
        <v>1004705.6603773584</v>
      </c>
      <c r="S86" s="8" t="s">
        <v>408</v>
      </c>
      <c r="T86" s="9">
        <v>0.5</v>
      </c>
      <c r="U86" s="8">
        <f t="shared" si="6"/>
        <v>1140000</v>
      </c>
      <c r="V86" s="8">
        <f t="shared" si="7"/>
        <v>1004705.6603773584</v>
      </c>
      <c r="W86" s="8"/>
      <c r="X86" s="9"/>
      <c r="Y86" s="8"/>
      <c r="Z86" s="8"/>
      <c r="AA86" s="8"/>
      <c r="AB86" s="176"/>
      <c r="AC86" s="176"/>
    </row>
    <row r="87" spans="1:29" ht="49.5" x14ac:dyDescent="0.35">
      <c r="A87" s="10" t="s">
        <v>36</v>
      </c>
      <c r="B87" s="11" t="s">
        <v>404</v>
      </c>
      <c r="C87" s="12"/>
      <c r="D87" s="13" t="s">
        <v>36</v>
      </c>
      <c r="E87" s="14" t="s">
        <v>413</v>
      </c>
      <c r="F87" s="15">
        <v>43063</v>
      </c>
      <c r="G87" s="16">
        <v>2799900</v>
      </c>
      <c r="H87" s="17">
        <v>7.0000000000000021E-2</v>
      </c>
      <c r="I87" s="16">
        <v>167515.38461538468</v>
      </c>
      <c r="J87" s="18" t="s">
        <v>410</v>
      </c>
      <c r="K87" s="12">
        <v>11</v>
      </c>
      <c r="L87" s="47" t="s">
        <v>414</v>
      </c>
      <c r="M87" s="12"/>
      <c r="N87" s="12" t="s">
        <v>40</v>
      </c>
      <c r="O87" s="8" t="s">
        <v>412</v>
      </c>
      <c r="P87" s="9">
        <v>0.5</v>
      </c>
      <c r="Q87" s="101">
        <f t="shared" si="4"/>
        <v>1399950</v>
      </c>
      <c r="R87" s="101">
        <f t="shared" si="5"/>
        <v>83757.692307692341</v>
      </c>
      <c r="S87" s="8" t="s">
        <v>408</v>
      </c>
      <c r="T87" s="9">
        <v>0.5</v>
      </c>
      <c r="U87" s="8">
        <f t="shared" si="6"/>
        <v>1399950</v>
      </c>
      <c r="V87" s="8">
        <f t="shared" si="7"/>
        <v>83757.692307692341</v>
      </c>
      <c r="W87" s="8"/>
      <c r="X87" s="9"/>
      <c r="Y87" s="8"/>
      <c r="Z87" s="8"/>
      <c r="AA87" s="8"/>
      <c r="AB87" s="176"/>
      <c r="AC87" s="176"/>
    </row>
    <row r="88" spans="1:29" ht="16.5" x14ac:dyDescent="0.35">
      <c r="A88" s="10" t="s">
        <v>102</v>
      </c>
      <c r="B88" s="11" t="s">
        <v>432</v>
      </c>
      <c r="C88" s="12"/>
      <c r="D88" s="13" t="s">
        <v>102</v>
      </c>
      <c r="E88" s="14" t="s">
        <v>433</v>
      </c>
      <c r="F88" s="15">
        <v>43088</v>
      </c>
      <c r="G88" s="16">
        <v>180000</v>
      </c>
      <c r="H88" s="17">
        <v>0.70560000000000012</v>
      </c>
      <c r="I88" s="16">
        <v>119818.86792452831</v>
      </c>
      <c r="J88" s="18" t="s">
        <v>434</v>
      </c>
      <c r="K88" s="12">
        <v>12</v>
      </c>
      <c r="L88" s="19" t="s">
        <v>435</v>
      </c>
      <c r="M88" s="12"/>
      <c r="N88" s="12" t="s">
        <v>105</v>
      </c>
      <c r="O88" s="18" t="s">
        <v>434</v>
      </c>
      <c r="P88" s="9">
        <v>1</v>
      </c>
      <c r="Q88" s="16">
        <v>180000</v>
      </c>
      <c r="R88" s="16">
        <v>119818.86792452831</v>
      </c>
      <c r="S88" s="8">
        <v>0</v>
      </c>
      <c r="T88" s="9">
        <v>0</v>
      </c>
      <c r="U88" s="8">
        <v>0</v>
      </c>
      <c r="V88" s="8">
        <v>0</v>
      </c>
      <c r="W88" s="8">
        <v>0</v>
      </c>
      <c r="X88" s="9">
        <v>0</v>
      </c>
      <c r="Y88" s="8">
        <v>0</v>
      </c>
      <c r="Z88" s="8">
        <v>0</v>
      </c>
      <c r="AA88" s="8" t="s">
        <v>32</v>
      </c>
      <c r="AB88" s="176"/>
      <c r="AC88" s="176"/>
    </row>
    <row r="89" spans="1:29" ht="49.5" x14ac:dyDescent="0.35">
      <c r="A89" s="10" t="s">
        <v>7</v>
      </c>
      <c r="B89" s="20" t="s">
        <v>436</v>
      </c>
      <c r="C89" s="20"/>
      <c r="D89" s="10" t="s">
        <v>7</v>
      </c>
      <c r="E89" s="14" t="s">
        <v>437</v>
      </c>
      <c r="F89" s="21">
        <v>43038</v>
      </c>
      <c r="G89" s="22">
        <v>100000</v>
      </c>
      <c r="H89" s="20">
        <v>1</v>
      </c>
      <c r="I89" s="23">
        <v>94339.622641509428</v>
      </c>
      <c r="J89" s="24" t="s">
        <v>434</v>
      </c>
      <c r="K89" s="12">
        <v>10</v>
      </c>
      <c r="L89" s="25" t="s">
        <v>438</v>
      </c>
      <c r="M89" s="20">
        <v>0.06</v>
      </c>
      <c r="N89" s="26" t="s">
        <v>29</v>
      </c>
      <c r="O89" s="24" t="s">
        <v>434</v>
      </c>
      <c r="P89" s="9">
        <v>1</v>
      </c>
      <c r="Q89" s="22">
        <v>100000</v>
      </c>
      <c r="R89" s="23">
        <v>94339.622641509428</v>
      </c>
      <c r="S89" s="8"/>
      <c r="T89" s="9"/>
      <c r="U89" s="8"/>
      <c r="V89" s="8"/>
      <c r="W89" s="8"/>
      <c r="X89" s="9"/>
      <c r="Y89" s="8"/>
      <c r="Z89" s="8"/>
      <c r="AA89" s="8"/>
      <c r="AB89" s="176"/>
      <c r="AC89" s="176"/>
    </row>
    <row r="90" spans="1:29" ht="16.5" x14ac:dyDescent="0.35">
      <c r="A90" s="10" t="s">
        <v>36</v>
      </c>
      <c r="B90" s="11" t="s">
        <v>449</v>
      </c>
      <c r="C90" s="12"/>
      <c r="D90" s="13" t="s">
        <v>36</v>
      </c>
      <c r="E90" s="14" t="s">
        <v>450</v>
      </c>
      <c r="F90" s="15">
        <v>43077</v>
      </c>
      <c r="G90" s="16">
        <v>195000</v>
      </c>
      <c r="H90" s="17">
        <v>0.9</v>
      </c>
      <c r="I90" s="16">
        <v>165566.03773584904</v>
      </c>
      <c r="J90" s="18" t="s">
        <v>451</v>
      </c>
      <c r="K90" s="12">
        <v>12</v>
      </c>
      <c r="L90" s="19" t="s">
        <v>452</v>
      </c>
      <c r="M90" s="12"/>
      <c r="N90" s="12" t="s">
        <v>40</v>
      </c>
      <c r="O90" s="18" t="s">
        <v>451</v>
      </c>
      <c r="P90" s="9">
        <v>1</v>
      </c>
      <c r="Q90" s="16">
        <v>195000</v>
      </c>
      <c r="R90" s="16">
        <v>165566.03773584904</v>
      </c>
      <c r="S90" s="8">
        <v>0</v>
      </c>
      <c r="T90" s="9">
        <v>0</v>
      </c>
      <c r="U90" s="8">
        <v>0</v>
      </c>
      <c r="V90" s="8">
        <v>0</v>
      </c>
      <c r="W90" s="8">
        <v>0</v>
      </c>
      <c r="X90" s="9">
        <v>0</v>
      </c>
      <c r="Y90" s="8">
        <v>0</v>
      </c>
      <c r="Z90" s="8">
        <v>0</v>
      </c>
      <c r="AA90" s="8" t="s">
        <v>32</v>
      </c>
      <c r="AB90" s="176"/>
      <c r="AC90" s="176"/>
    </row>
    <row r="91" spans="1:29" ht="16.5" x14ac:dyDescent="0.35">
      <c r="A91" s="10" t="s">
        <v>36</v>
      </c>
      <c r="B91" s="11" t="s">
        <v>449</v>
      </c>
      <c r="C91" s="12"/>
      <c r="D91" s="13" t="s">
        <v>36</v>
      </c>
      <c r="E91" s="14" t="s">
        <v>453</v>
      </c>
      <c r="F91" s="15">
        <v>43096</v>
      </c>
      <c r="G91" s="16">
        <v>195000</v>
      </c>
      <c r="H91" s="17">
        <v>0.9850000000000001</v>
      </c>
      <c r="I91" s="16">
        <v>181202.83018867928</v>
      </c>
      <c r="J91" s="18" t="s">
        <v>451</v>
      </c>
      <c r="K91" s="12">
        <v>12</v>
      </c>
      <c r="L91" s="19" t="s">
        <v>454</v>
      </c>
      <c r="M91" s="12"/>
      <c r="N91" s="12" t="s">
        <v>40</v>
      </c>
      <c r="O91" s="18" t="s">
        <v>451</v>
      </c>
      <c r="P91" s="9">
        <v>1</v>
      </c>
      <c r="Q91" s="16">
        <v>195000</v>
      </c>
      <c r="R91" s="16">
        <v>181202.83018867928</v>
      </c>
      <c r="S91" s="8">
        <v>0</v>
      </c>
      <c r="T91" s="9">
        <v>0</v>
      </c>
      <c r="U91" s="8">
        <v>0</v>
      </c>
      <c r="V91" s="8">
        <v>0</v>
      </c>
      <c r="W91" s="8">
        <v>0</v>
      </c>
      <c r="X91" s="9">
        <v>0</v>
      </c>
      <c r="Y91" s="8">
        <v>0</v>
      </c>
      <c r="Z91" s="8">
        <v>0</v>
      </c>
      <c r="AA91" s="8" t="s">
        <v>35</v>
      </c>
      <c r="AB91" s="176"/>
      <c r="AC91" s="176"/>
    </row>
    <row r="92" spans="1:29" ht="16.5" x14ac:dyDescent="0.35">
      <c r="A92" s="10" t="s">
        <v>36</v>
      </c>
      <c r="B92" s="11" t="s">
        <v>449</v>
      </c>
      <c r="C92" s="12"/>
      <c r="D92" s="13" t="s">
        <v>36</v>
      </c>
      <c r="E92" s="14" t="s">
        <v>455</v>
      </c>
      <c r="F92" s="15">
        <v>43096</v>
      </c>
      <c r="G92" s="16">
        <v>195000</v>
      </c>
      <c r="H92" s="17">
        <v>0.97950000000000004</v>
      </c>
      <c r="I92" s="16">
        <v>180191.03773584904</v>
      </c>
      <c r="J92" s="18" t="s">
        <v>451</v>
      </c>
      <c r="K92" s="12">
        <v>12</v>
      </c>
      <c r="L92" s="19" t="s">
        <v>456</v>
      </c>
      <c r="M92" s="12"/>
      <c r="N92" s="12" t="s">
        <v>40</v>
      </c>
      <c r="O92" s="18" t="s">
        <v>451</v>
      </c>
      <c r="P92" s="9">
        <v>1</v>
      </c>
      <c r="Q92" s="16">
        <v>195000</v>
      </c>
      <c r="R92" s="16">
        <v>180191.03773584904</v>
      </c>
      <c r="S92" s="8">
        <v>0</v>
      </c>
      <c r="T92" s="9">
        <v>0</v>
      </c>
      <c r="U92" s="8">
        <v>0</v>
      </c>
      <c r="V92" s="8">
        <v>0</v>
      </c>
      <c r="W92" s="8">
        <v>0</v>
      </c>
      <c r="X92" s="9">
        <v>0</v>
      </c>
      <c r="Y92" s="8">
        <v>0</v>
      </c>
      <c r="Z92" s="8">
        <v>0</v>
      </c>
      <c r="AA92" s="8" t="s">
        <v>32</v>
      </c>
      <c r="AB92" s="176"/>
      <c r="AC92" s="176"/>
    </row>
    <row r="93" spans="1:29" ht="16.5" x14ac:dyDescent="0.35">
      <c r="A93" s="10" t="s">
        <v>36</v>
      </c>
      <c r="B93" s="11" t="s">
        <v>449</v>
      </c>
      <c r="C93" s="12"/>
      <c r="D93" s="13" t="s">
        <v>36</v>
      </c>
      <c r="E93" s="14" t="s">
        <v>457</v>
      </c>
      <c r="F93" s="15">
        <v>43097</v>
      </c>
      <c r="G93" s="16">
        <v>195000</v>
      </c>
      <c r="H93" s="17">
        <v>0.9850000000000001</v>
      </c>
      <c r="I93" s="16">
        <v>181202.83018867928</v>
      </c>
      <c r="J93" s="18" t="s">
        <v>451</v>
      </c>
      <c r="K93" s="12">
        <v>12</v>
      </c>
      <c r="L93" s="19" t="s">
        <v>454</v>
      </c>
      <c r="M93" s="12"/>
      <c r="N93" s="12" t="s">
        <v>40</v>
      </c>
      <c r="O93" s="18" t="s">
        <v>451</v>
      </c>
      <c r="P93" s="9">
        <v>1</v>
      </c>
      <c r="Q93" s="16">
        <v>195000</v>
      </c>
      <c r="R93" s="16">
        <v>181202.83018867928</v>
      </c>
      <c r="S93" s="8">
        <v>0</v>
      </c>
      <c r="T93" s="9">
        <v>0</v>
      </c>
      <c r="U93" s="8">
        <v>0</v>
      </c>
      <c r="V93" s="8">
        <v>0</v>
      </c>
      <c r="W93" s="8">
        <v>0</v>
      </c>
      <c r="X93" s="9">
        <v>0</v>
      </c>
      <c r="Y93" s="8">
        <v>0</v>
      </c>
      <c r="Z93" s="8">
        <v>0</v>
      </c>
      <c r="AA93" s="8" t="s">
        <v>35</v>
      </c>
      <c r="AB93" s="176"/>
      <c r="AC93" s="176"/>
    </row>
    <row r="94" spans="1:29" ht="16.5" x14ac:dyDescent="0.35">
      <c r="A94" s="10" t="s">
        <v>7</v>
      </c>
      <c r="B94" s="11" t="s">
        <v>449</v>
      </c>
      <c r="C94" s="12"/>
      <c r="D94" s="13" t="s">
        <v>7</v>
      </c>
      <c r="E94" s="14" t="s">
        <v>458</v>
      </c>
      <c r="F94" s="15">
        <v>43098</v>
      </c>
      <c r="G94" s="16">
        <v>19155000</v>
      </c>
      <c r="H94" s="17">
        <v>0.3362</v>
      </c>
      <c r="I94" s="16">
        <v>6075387.7358490564</v>
      </c>
      <c r="J94" s="18" t="s">
        <v>459</v>
      </c>
      <c r="K94" s="12">
        <v>12</v>
      </c>
      <c r="L94" s="19" t="s">
        <v>460</v>
      </c>
      <c r="M94" s="12"/>
      <c r="N94" s="12" t="s">
        <v>29</v>
      </c>
      <c r="O94" s="18" t="s">
        <v>459</v>
      </c>
      <c r="P94" s="9">
        <v>1</v>
      </c>
      <c r="Q94" s="16">
        <v>19155000</v>
      </c>
      <c r="R94" s="16">
        <v>6075387.7358490564</v>
      </c>
      <c r="S94" s="8">
        <v>0</v>
      </c>
      <c r="T94" s="9">
        <v>0</v>
      </c>
      <c r="U94" s="8">
        <v>0</v>
      </c>
      <c r="V94" s="8">
        <v>0</v>
      </c>
      <c r="W94" s="8">
        <v>0</v>
      </c>
      <c r="X94" s="9">
        <v>0</v>
      </c>
      <c r="Y94" s="8">
        <v>0</v>
      </c>
      <c r="Z94" s="8">
        <v>0</v>
      </c>
      <c r="AA94" s="8" t="s">
        <v>32</v>
      </c>
      <c r="AB94" s="176"/>
      <c r="AC94" s="176"/>
    </row>
    <row r="95" spans="1:29" ht="16.5" x14ac:dyDescent="0.35">
      <c r="A95" s="10" t="s">
        <v>36</v>
      </c>
      <c r="B95" s="11" t="s">
        <v>449</v>
      </c>
      <c r="C95" s="12"/>
      <c r="D95" s="13" t="s">
        <v>36</v>
      </c>
      <c r="E95" s="14" t="s">
        <v>461</v>
      </c>
      <c r="F95" s="15">
        <v>43098</v>
      </c>
      <c r="G95" s="16">
        <v>2160000</v>
      </c>
      <c r="H95" s="17">
        <v>0.8902000000000001</v>
      </c>
      <c r="I95" s="16">
        <v>1813992.4528301889</v>
      </c>
      <c r="J95" s="18">
        <v>0</v>
      </c>
      <c r="K95" s="12">
        <v>12</v>
      </c>
      <c r="L95" s="19" t="s">
        <v>462</v>
      </c>
      <c r="M95" s="12"/>
      <c r="N95" s="12" t="s">
        <v>40</v>
      </c>
      <c r="O95" s="18" t="s">
        <v>463</v>
      </c>
      <c r="P95" s="9">
        <v>1</v>
      </c>
      <c r="Q95" s="16">
        <v>2160000</v>
      </c>
      <c r="R95" s="16">
        <v>1813992.4528301889</v>
      </c>
      <c r="S95" s="8">
        <v>0</v>
      </c>
      <c r="T95" s="9">
        <v>0</v>
      </c>
      <c r="U95" s="8">
        <v>0</v>
      </c>
      <c r="V95" s="8">
        <v>0</v>
      </c>
      <c r="W95" s="8">
        <v>0</v>
      </c>
      <c r="X95" s="9">
        <v>0</v>
      </c>
      <c r="Y95" s="8">
        <v>0</v>
      </c>
      <c r="Z95" s="8">
        <v>0</v>
      </c>
      <c r="AA95" s="8" t="s">
        <v>35</v>
      </c>
      <c r="AB95" s="176"/>
      <c r="AC95" s="176"/>
    </row>
    <row r="96" spans="1:29" ht="49.5" x14ac:dyDescent="0.35">
      <c r="A96" s="10" t="s">
        <v>36</v>
      </c>
      <c r="B96" s="11" t="s">
        <v>464</v>
      </c>
      <c r="C96" s="12"/>
      <c r="D96" s="13" t="s">
        <v>36</v>
      </c>
      <c r="E96" s="14" t="s">
        <v>465</v>
      </c>
      <c r="F96" s="15">
        <v>43056</v>
      </c>
      <c r="G96" s="16">
        <v>648000</v>
      </c>
      <c r="H96" s="17">
        <v>0.91050000000000009</v>
      </c>
      <c r="I96" s="16">
        <v>556607.54716981133</v>
      </c>
      <c r="J96" s="18" t="s">
        <v>451</v>
      </c>
      <c r="K96" s="12">
        <v>11</v>
      </c>
      <c r="L96" s="47" t="s">
        <v>466</v>
      </c>
      <c r="M96" s="12"/>
      <c r="N96" s="12" t="s">
        <v>40</v>
      </c>
      <c r="O96" s="18" t="s">
        <v>451</v>
      </c>
      <c r="P96" s="9">
        <v>1</v>
      </c>
      <c r="Q96" s="16">
        <v>648000</v>
      </c>
      <c r="R96" s="16">
        <v>556607.54716981133</v>
      </c>
      <c r="S96" s="8"/>
      <c r="T96" s="9"/>
      <c r="U96" s="8"/>
      <c r="V96" s="8"/>
      <c r="W96" s="8"/>
      <c r="X96" s="9"/>
      <c r="Y96" s="8"/>
      <c r="Z96" s="8"/>
      <c r="AA96" s="8"/>
      <c r="AB96" s="176"/>
      <c r="AC96" s="176"/>
    </row>
    <row r="97" spans="1:29" ht="49.5" x14ac:dyDescent="0.35">
      <c r="A97" s="10" t="s">
        <v>36</v>
      </c>
      <c r="B97" s="11" t="s">
        <v>464</v>
      </c>
      <c r="C97" s="12"/>
      <c r="D97" s="13" t="s">
        <v>36</v>
      </c>
      <c r="E97" s="14" t="s">
        <v>467</v>
      </c>
      <c r="F97" s="15">
        <v>43068</v>
      </c>
      <c r="G97" s="16">
        <v>760000</v>
      </c>
      <c r="H97" s="17">
        <v>0.79610000000000003</v>
      </c>
      <c r="I97" s="16">
        <v>570788.67924528301</v>
      </c>
      <c r="J97" s="18" t="s">
        <v>468</v>
      </c>
      <c r="K97" s="12">
        <v>11</v>
      </c>
      <c r="L97" s="47" t="s">
        <v>469</v>
      </c>
      <c r="M97" s="12"/>
      <c r="N97" s="12" t="s">
        <v>40</v>
      </c>
      <c r="O97" s="18" t="s">
        <v>468</v>
      </c>
      <c r="P97" s="9">
        <v>1</v>
      </c>
      <c r="Q97" s="16">
        <v>760000</v>
      </c>
      <c r="R97" s="16">
        <v>570788.67924528301</v>
      </c>
      <c r="S97" s="8"/>
      <c r="T97" s="9"/>
      <c r="U97" s="8"/>
      <c r="V97" s="8"/>
      <c r="W97" s="8"/>
      <c r="X97" s="9"/>
      <c r="Y97" s="8"/>
      <c r="Z97" s="8"/>
      <c r="AA97" s="8"/>
      <c r="AB97" s="176"/>
      <c r="AC97" s="176"/>
    </row>
    <row r="98" spans="1:29" ht="16.5" x14ac:dyDescent="0.35">
      <c r="A98" s="10" t="s">
        <v>36</v>
      </c>
      <c r="B98" s="11" t="s">
        <v>487</v>
      </c>
      <c r="C98" s="12"/>
      <c r="D98" s="13" t="s">
        <v>36</v>
      </c>
      <c r="E98" s="14" t="s">
        <v>488</v>
      </c>
      <c r="F98" s="15">
        <v>42655</v>
      </c>
      <c r="G98" s="16">
        <v>-2450000</v>
      </c>
      <c r="H98" s="17">
        <v>0.88119999999999987</v>
      </c>
      <c r="I98" s="16">
        <v>-2036735.8490566036</v>
      </c>
      <c r="J98" s="18" t="s">
        <v>489</v>
      </c>
      <c r="K98" s="12">
        <v>12</v>
      </c>
      <c r="L98" s="19" t="s">
        <v>490</v>
      </c>
      <c r="M98" s="12"/>
      <c r="N98" s="12" t="s">
        <v>29</v>
      </c>
      <c r="O98" s="8" t="s">
        <v>491</v>
      </c>
      <c r="P98" s="9">
        <v>1</v>
      </c>
      <c r="Q98" s="8">
        <v>0</v>
      </c>
      <c r="R98" s="8">
        <v>0</v>
      </c>
      <c r="S98" s="8">
        <v>0</v>
      </c>
      <c r="T98" s="9">
        <v>0</v>
      </c>
      <c r="U98" s="8">
        <v>0</v>
      </c>
      <c r="V98" s="8">
        <v>0</v>
      </c>
      <c r="W98" s="8">
        <v>0</v>
      </c>
      <c r="X98" s="9">
        <v>0</v>
      </c>
      <c r="Y98" s="8">
        <v>0</v>
      </c>
      <c r="Z98" s="8">
        <v>0</v>
      </c>
      <c r="AA98" s="8">
        <v>0</v>
      </c>
      <c r="AB98" s="176"/>
      <c r="AC98" s="176"/>
    </row>
    <row r="99" spans="1:29" ht="16.5" x14ac:dyDescent="0.35">
      <c r="A99" s="10" t="s">
        <v>36</v>
      </c>
      <c r="B99" s="11" t="s">
        <v>487</v>
      </c>
      <c r="C99" s="12"/>
      <c r="D99" s="13" t="s">
        <v>36</v>
      </c>
      <c r="E99" s="14" t="s">
        <v>488</v>
      </c>
      <c r="F99" s="15">
        <v>42655</v>
      </c>
      <c r="G99" s="16">
        <v>2450000</v>
      </c>
      <c r="H99" s="17">
        <v>0.79949999999999999</v>
      </c>
      <c r="I99" s="16">
        <v>1847900.9433962265</v>
      </c>
      <c r="J99" s="18" t="s">
        <v>489</v>
      </c>
      <c r="K99" s="12">
        <v>12</v>
      </c>
      <c r="L99" s="19" t="s">
        <v>490</v>
      </c>
      <c r="M99" s="12"/>
      <c r="N99" s="12" t="s">
        <v>29</v>
      </c>
      <c r="O99" s="8" t="s">
        <v>491</v>
      </c>
      <c r="P99" s="9">
        <v>1</v>
      </c>
      <c r="Q99" s="8">
        <v>0</v>
      </c>
      <c r="R99" s="8">
        <v>0</v>
      </c>
      <c r="S99" s="8">
        <v>0</v>
      </c>
      <c r="T99" s="9">
        <v>0</v>
      </c>
      <c r="U99" s="8">
        <v>0</v>
      </c>
      <c r="V99" s="8">
        <v>0</v>
      </c>
      <c r="W99" s="8">
        <v>0</v>
      </c>
      <c r="X99" s="9">
        <v>0</v>
      </c>
      <c r="Y99" s="8">
        <v>0</v>
      </c>
      <c r="Z99" s="8">
        <v>0</v>
      </c>
      <c r="AA99" s="8">
        <v>0</v>
      </c>
      <c r="AB99" s="176"/>
      <c r="AC99" s="176"/>
    </row>
    <row r="100" spans="1:29" ht="16.5" x14ac:dyDescent="0.35">
      <c r="A100" s="10" t="s">
        <v>7</v>
      </c>
      <c r="B100" s="11" t="s">
        <v>487</v>
      </c>
      <c r="C100" s="12"/>
      <c r="D100" s="13" t="s">
        <v>7</v>
      </c>
      <c r="E100" s="14" t="s">
        <v>492</v>
      </c>
      <c r="F100" s="15">
        <v>43083</v>
      </c>
      <c r="G100" s="16">
        <v>11812</v>
      </c>
      <c r="H100" s="17">
        <v>0.3</v>
      </c>
      <c r="I100" s="16">
        <v>3343.018867924528</v>
      </c>
      <c r="J100" s="18" t="s">
        <v>493</v>
      </c>
      <c r="K100" s="12">
        <v>12</v>
      </c>
      <c r="L100" s="19" t="s">
        <v>494</v>
      </c>
      <c r="M100" s="12"/>
      <c r="N100" s="12" t="s">
        <v>29</v>
      </c>
      <c r="O100" s="8" t="s">
        <v>495</v>
      </c>
      <c r="P100" s="9">
        <v>1</v>
      </c>
      <c r="Q100" s="8">
        <v>0</v>
      </c>
      <c r="R100" s="8">
        <v>0</v>
      </c>
      <c r="S100" s="8">
        <v>0</v>
      </c>
      <c r="T100" s="9">
        <v>0</v>
      </c>
      <c r="U100" s="8">
        <v>0</v>
      </c>
      <c r="V100" s="8">
        <v>0</v>
      </c>
      <c r="W100" s="8">
        <v>0</v>
      </c>
      <c r="X100" s="9">
        <v>0</v>
      </c>
      <c r="Y100" s="8">
        <v>0</v>
      </c>
      <c r="Z100" s="8">
        <v>0</v>
      </c>
      <c r="AA100" s="8" t="s">
        <v>35</v>
      </c>
      <c r="AB100" s="176"/>
      <c r="AC100" s="176"/>
    </row>
    <row r="101" spans="1:29" ht="16.5" x14ac:dyDescent="0.35">
      <c r="A101" s="10" t="s">
        <v>36</v>
      </c>
      <c r="B101" s="11" t="s">
        <v>487</v>
      </c>
      <c r="C101" s="12"/>
      <c r="D101" s="13" t="s">
        <v>36</v>
      </c>
      <c r="E101" s="14" t="s">
        <v>496</v>
      </c>
      <c r="F101" s="15">
        <v>43090</v>
      </c>
      <c r="G101" s="16">
        <v>90000</v>
      </c>
      <c r="H101" s="17">
        <v>1</v>
      </c>
      <c r="I101" s="16">
        <v>84905.660377358479</v>
      </c>
      <c r="J101" s="18" t="s">
        <v>497</v>
      </c>
      <c r="K101" s="12">
        <v>12</v>
      </c>
      <c r="L101" s="19" t="s">
        <v>498</v>
      </c>
      <c r="M101" s="12"/>
      <c r="N101" s="12" t="s">
        <v>40</v>
      </c>
      <c r="O101" s="8" t="s">
        <v>499</v>
      </c>
      <c r="P101" s="9">
        <v>1</v>
      </c>
      <c r="Q101" s="8">
        <v>0</v>
      </c>
      <c r="R101" s="8">
        <v>0</v>
      </c>
      <c r="S101" s="8">
        <v>0</v>
      </c>
      <c r="T101" s="9">
        <v>0</v>
      </c>
      <c r="U101" s="8">
        <v>0</v>
      </c>
      <c r="V101" s="8">
        <v>0</v>
      </c>
      <c r="W101" s="8">
        <v>0</v>
      </c>
      <c r="X101" s="9">
        <v>0</v>
      </c>
      <c r="Y101" s="8">
        <v>0</v>
      </c>
      <c r="Z101" s="8">
        <v>0</v>
      </c>
      <c r="AA101" s="8" t="s">
        <v>35</v>
      </c>
      <c r="AB101" s="176"/>
      <c r="AC101" s="176"/>
    </row>
    <row r="102" spans="1:29" ht="16.5" x14ac:dyDescent="0.35">
      <c r="A102" s="10" t="s">
        <v>7</v>
      </c>
      <c r="B102" s="11" t="s">
        <v>487</v>
      </c>
      <c r="C102" s="12"/>
      <c r="D102" s="13" t="s">
        <v>7</v>
      </c>
      <c r="E102" s="14" t="s">
        <v>500</v>
      </c>
      <c r="F102" s="15">
        <v>43095</v>
      </c>
      <c r="G102" s="16">
        <v>2200000</v>
      </c>
      <c r="H102" s="17">
        <v>0.15870000000000001</v>
      </c>
      <c r="I102" s="16">
        <v>329377.35849056602</v>
      </c>
      <c r="J102" s="18">
        <v>0</v>
      </c>
      <c r="K102" s="12">
        <v>12</v>
      </c>
      <c r="L102" s="19" t="s">
        <v>501</v>
      </c>
      <c r="M102" s="12"/>
      <c r="N102" s="12" t="s">
        <v>29</v>
      </c>
      <c r="O102" s="8" t="s">
        <v>491</v>
      </c>
      <c r="P102" s="9">
        <v>1</v>
      </c>
      <c r="Q102" s="8">
        <v>0</v>
      </c>
      <c r="R102" s="8">
        <v>0</v>
      </c>
      <c r="S102" s="8">
        <v>0</v>
      </c>
      <c r="T102" s="9">
        <v>0</v>
      </c>
      <c r="U102" s="8">
        <v>0</v>
      </c>
      <c r="V102" s="8">
        <v>0</v>
      </c>
      <c r="W102" s="8">
        <v>0</v>
      </c>
      <c r="X102" s="9">
        <v>0</v>
      </c>
      <c r="Y102" s="8">
        <v>0</v>
      </c>
      <c r="Z102" s="8">
        <v>0</v>
      </c>
      <c r="AA102" s="8" t="s">
        <v>32</v>
      </c>
      <c r="AB102" s="176"/>
      <c r="AC102" s="176"/>
    </row>
    <row r="103" spans="1:29" ht="16.5" x14ac:dyDescent="0.35">
      <c r="A103" s="10" t="s">
        <v>71</v>
      </c>
      <c r="B103" s="11" t="s">
        <v>519</v>
      </c>
      <c r="C103" s="12"/>
      <c r="D103" s="13" t="s">
        <v>7</v>
      </c>
      <c r="E103" s="14" t="s">
        <v>520</v>
      </c>
      <c r="F103" s="15">
        <v>43087</v>
      </c>
      <c r="G103" s="16">
        <v>629450</v>
      </c>
      <c r="H103" s="17">
        <v>0.05</v>
      </c>
      <c r="I103" s="16">
        <v>26899.572649572652</v>
      </c>
      <c r="J103" s="18" t="s">
        <v>518</v>
      </c>
      <c r="K103" s="12">
        <v>12</v>
      </c>
      <c r="L103" s="19" t="s">
        <v>521</v>
      </c>
      <c r="M103" s="12"/>
      <c r="N103" s="12" t="s">
        <v>74</v>
      </c>
      <c r="O103" s="8" t="s">
        <v>522</v>
      </c>
      <c r="P103" s="9">
        <v>1</v>
      </c>
      <c r="Q103" s="101">
        <f t="shared" ref="Q103:Q108" si="8">G103</f>
        <v>629450</v>
      </c>
      <c r="R103" s="101">
        <f t="shared" ref="R103:R108" si="9">I103</f>
        <v>26899.572649572652</v>
      </c>
      <c r="S103" s="8">
        <v>0</v>
      </c>
      <c r="T103" s="9">
        <v>0</v>
      </c>
      <c r="U103" s="8">
        <v>0</v>
      </c>
      <c r="V103" s="8">
        <v>0</v>
      </c>
      <c r="W103" s="8">
        <v>0</v>
      </c>
      <c r="X103" s="9">
        <v>0</v>
      </c>
      <c r="Y103" s="8">
        <v>0</v>
      </c>
      <c r="Z103" s="8">
        <v>0</v>
      </c>
      <c r="AA103" s="8" t="s">
        <v>35</v>
      </c>
      <c r="AB103" s="176"/>
      <c r="AC103" s="176"/>
    </row>
    <row r="104" spans="1:29" ht="16.5" x14ac:dyDescent="0.35">
      <c r="A104" s="10" t="s">
        <v>36</v>
      </c>
      <c r="B104" s="11" t="s">
        <v>519</v>
      </c>
      <c r="C104" s="12"/>
      <c r="D104" s="13" t="s">
        <v>36</v>
      </c>
      <c r="E104" s="14" t="s">
        <v>523</v>
      </c>
      <c r="F104" s="15">
        <v>43097</v>
      </c>
      <c r="G104" s="16">
        <v>810000</v>
      </c>
      <c r="H104" s="17">
        <v>0.08</v>
      </c>
      <c r="I104" s="16">
        <v>55384.61538461539</v>
      </c>
      <c r="J104" s="18" t="s">
        <v>518</v>
      </c>
      <c r="K104" s="12">
        <v>12</v>
      </c>
      <c r="L104" s="19" t="s">
        <v>521</v>
      </c>
      <c r="M104" s="12"/>
      <c r="N104" s="12" t="s">
        <v>40</v>
      </c>
      <c r="O104" s="8" t="s">
        <v>522</v>
      </c>
      <c r="P104" s="9">
        <v>1</v>
      </c>
      <c r="Q104" s="101">
        <f t="shared" si="8"/>
        <v>810000</v>
      </c>
      <c r="R104" s="101">
        <f t="shared" si="9"/>
        <v>55384.61538461539</v>
      </c>
      <c r="S104" s="8">
        <v>0</v>
      </c>
      <c r="T104" s="9">
        <v>0</v>
      </c>
      <c r="U104" s="8">
        <v>0</v>
      </c>
      <c r="V104" s="8">
        <v>0</v>
      </c>
      <c r="W104" s="8">
        <v>0</v>
      </c>
      <c r="X104" s="9">
        <v>0</v>
      </c>
      <c r="Y104" s="8">
        <v>0</v>
      </c>
      <c r="Z104" s="8">
        <v>0</v>
      </c>
      <c r="AA104" s="8" t="s">
        <v>35</v>
      </c>
      <c r="AB104" s="176"/>
      <c r="AC104" s="176"/>
    </row>
    <row r="105" spans="1:29" ht="16.5" x14ac:dyDescent="0.35">
      <c r="A105" s="10" t="s">
        <v>7</v>
      </c>
      <c r="B105" s="11" t="s">
        <v>519</v>
      </c>
      <c r="C105" s="12"/>
      <c r="D105" s="13" t="s">
        <v>7</v>
      </c>
      <c r="E105" s="14" t="s">
        <v>524</v>
      </c>
      <c r="F105" s="15">
        <v>43098</v>
      </c>
      <c r="G105" s="16">
        <v>2209.3000000000002</v>
      </c>
      <c r="H105" s="17">
        <v>1</v>
      </c>
      <c r="I105" s="16">
        <v>2084.2452830188681</v>
      </c>
      <c r="J105" s="18" t="s">
        <v>525</v>
      </c>
      <c r="K105" s="12">
        <v>12</v>
      </c>
      <c r="L105" s="19" t="s">
        <v>526</v>
      </c>
      <c r="M105" s="12"/>
      <c r="N105" s="12" t="s">
        <v>29</v>
      </c>
      <c r="O105" s="8" t="s">
        <v>522</v>
      </c>
      <c r="P105" s="9">
        <v>1</v>
      </c>
      <c r="Q105" s="101">
        <f t="shared" si="8"/>
        <v>2209.3000000000002</v>
      </c>
      <c r="R105" s="101">
        <f t="shared" si="9"/>
        <v>2084.2452830188681</v>
      </c>
      <c r="S105" s="8">
        <v>0</v>
      </c>
      <c r="T105" s="9">
        <v>0</v>
      </c>
      <c r="U105" s="8">
        <v>0</v>
      </c>
      <c r="V105" s="8">
        <v>0</v>
      </c>
      <c r="W105" s="8">
        <v>0</v>
      </c>
      <c r="X105" s="9">
        <v>0</v>
      </c>
      <c r="Y105" s="8">
        <v>0</v>
      </c>
      <c r="Z105" s="8">
        <v>0</v>
      </c>
      <c r="AA105" s="8" t="s">
        <v>32</v>
      </c>
      <c r="AB105" s="176"/>
      <c r="AC105" s="176"/>
    </row>
    <row r="106" spans="1:29" ht="16.5" x14ac:dyDescent="0.35">
      <c r="A106" s="10" t="s">
        <v>7</v>
      </c>
      <c r="B106" s="11" t="s">
        <v>519</v>
      </c>
      <c r="C106" s="12"/>
      <c r="D106" s="13" t="s">
        <v>7</v>
      </c>
      <c r="E106" s="14" t="s">
        <v>524</v>
      </c>
      <c r="F106" s="15">
        <v>43098</v>
      </c>
      <c r="G106" s="16">
        <v>1955.9</v>
      </c>
      <c r="H106" s="17">
        <v>1</v>
      </c>
      <c r="I106" s="16">
        <v>1845.1886792452831</v>
      </c>
      <c r="J106" s="18" t="s">
        <v>525</v>
      </c>
      <c r="K106" s="12">
        <v>12</v>
      </c>
      <c r="L106" s="19" t="s">
        <v>526</v>
      </c>
      <c r="M106" s="12"/>
      <c r="N106" s="12" t="s">
        <v>29</v>
      </c>
      <c r="O106" s="8" t="s">
        <v>522</v>
      </c>
      <c r="P106" s="9">
        <v>1</v>
      </c>
      <c r="Q106" s="101">
        <f t="shared" si="8"/>
        <v>1955.9</v>
      </c>
      <c r="R106" s="101">
        <f t="shared" si="9"/>
        <v>1845.1886792452831</v>
      </c>
      <c r="S106" s="8">
        <v>0</v>
      </c>
      <c r="T106" s="9">
        <v>0</v>
      </c>
      <c r="U106" s="8">
        <v>0</v>
      </c>
      <c r="V106" s="8">
        <v>0</v>
      </c>
      <c r="W106" s="8">
        <v>0</v>
      </c>
      <c r="X106" s="9">
        <v>0</v>
      </c>
      <c r="Y106" s="8">
        <v>0</v>
      </c>
      <c r="Z106" s="8">
        <v>0</v>
      </c>
      <c r="AA106" s="8" t="s">
        <v>35</v>
      </c>
      <c r="AB106" s="176"/>
      <c r="AC106" s="176"/>
    </row>
    <row r="107" spans="1:29" ht="16.5" x14ac:dyDescent="0.35">
      <c r="A107" s="10" t="s">
        <v>7</v>
      </c>
      <c r="B107" s="11" t="s">
        <v>519</v>
      </c>
      <c r="C107" s="12"/>
      <c r="D107" s="13" t="s">
        <v>7</v>
      </c>
      <c r="E107" s="14" t="s">
        <v>527</v>
      </c>
      <c r="F107" s="15">
        <v>43098</v>
      </c>
      <c r="G107" s="16">
        <v>7264.16</v>
      </c>
      <c r="H107" s="17">
        <v>1</v>
      </c>
      <c r="I107" s="16">
        <v>6852.9811320754716</v>
      </c>
      <c r="J107" s="18" t="s">
        <v>525</v>
      </c>
      <c r="K107" s="12">
        <v>12</v>
      </c>
      <c r="L107" s="19" t="s">
        <v>528</v>
      </c>
      <c r="M107" s="12"/>
      <c r="N107" s="12" t="s">
        <v>29</v>
      </c>
      <c r="O107" s="8" t="s">
        <v>522</v>
      </c>
      <c r="P107" s="9">
        <v>1</v>
      </c>
      <c r="Q107" s="101">
        <f t="shared" si="8"/>
        <v>7264.16</v>
      </c>
      <c r="R107" s="101">
        <f t="shared" si="9"/>
        <v>6852.9811320754716</v>
      </c>
      <c r="S107" s="8">
        <v>0</v>
      </c>
      <c r="T107" s="9">
        <v>0</v>
      </c>
      <c r="U107" s="8">
        <v>0</v>
      </c>
      <c r="V107" s="8">
        <v>0</v>
      </c>
      <c r="W107" s="8">
        <v>0</v>
      </c>
      <c r="X107" s="9">
        <v>0</v>
      </c>
      <c r="Y107" s="8">
        <v>0</v>
      </c>
      <c r="Z107" s="8">
        <v>0</v>
      </c>
      <c r="AA107" s="8" t="s">
        <v>32</v>
      </c>
      <c r="AB107" s="176"/>
      <c r="AC107" s="176"/>
    </row>
    <row r="108" spans="1:29" ht="49.5" x14ac:dyDescent="0.35">
      <c r="A108" s="10" t="s">
        <v>36</v>
      </c>
      <c r="B108" s="11" t="s">
        <v>517</v>
      </c>
      <c r="C108" s="12"/>
      <c r="D108" s="13" t="s">
        <v>36</v>
      </c>
      <c r="E108" s="14" t="s">
        <v>529</v>
      </c>
      <c r="F108" s="15">
        <v>43062</v>
      </c>
      <c r="G108" s="16">
        <v>940000</v>
      </c>
      <c r="H108" s="17">
        <v>0.05</v>
      </c>
      <c r="I108" s="16">
        <v>40170.940170940172</v>
      </c>
      <c r="J108" s="18" t="s">
        <v>518</v>
      </c>
      <c r="K108" s="12">
        <v>11</v>
      </c>
      <c r="L108" s="47" t="s">
        <v>521</v>
      </c>
      <c r="M108" s="12"/>
      <c r="N108" s="12" t="s">
        <v>40</v>
      </c>
      <c r="O108" s="8" t="s">
        <v>522</v>
      </c>
      <c r="P108" s="9">
        <v>1</v>
      </c>
      <c r="Q108" s="101">
        <f t="shared" si="8"/>
        <v>940000</v>
      </c>
      <c r="R108" s="101">
        <f t="shared" si="9"/>
        <v>40170.940170940172</v>
      </c>
      <c r="S108" s="8"/>
      <c r="T108" s="9"/>
      <c r="U108" s="8"/>
      <c r="V108" s="8"/>
      <c r="W108" s="8"/>
      <c r="X108" s="9"/>
      <c r="Y108" s="8"/>
      <c r="Z108" s="8"/>
      <c r="AA108" s="8"/>
      <c r="AB108" s="176"/>
      <c r="AC108" s="176"/>
    </row>
    <row r="109" spans="1:29" ht="16.5" x14ac:dyDescent="0.35">
      <c r="A109" s="10" t="s">
        <v>7</v>
      </c>
      <c r="B109" s="11" t="s">
        <v>539</v>
      </c>
      <c r="C109" s="12"/>
      <c r="D109" s="105" t="s">
        <v>7</v>
      </c>
      <c r="E109" s="106" t="s">
        <v>540</v>
      </c>
      <c r="F109" s="107">
        <v>43090</v>
      </c>
      <c r="G109" s="108">
        <v>2147101.6800000002</v>
      </c>
      <c r="H109" s="109">
        <v>0.08</v>
      </c>
      <c r="I109" s="108">
        <v>162045.40981132074</v>
      </c>
      <c r="J109" s="110" t="s">
        <v>538</v>
      </c>
      <c r="K109" s="111">
        <v>12</v>
      </c>
      <c r="L109" s="112" t="s">
        <v>541</v>
      </c>
      <c r="M109" s="111"/>
      <c r="N109" s="111" t="s">
        <v>29</v>
      </c>
      <c r="O109" s="111" t="s">
        <v>542</v>
      </c>
      <c r="P109" s="113">
        <v>0.6</v>
      </c>
      <c r="Q109" s="111">
        <f>G109*P109</f>
        <v>1288261.0080000001</v>
      </c>
      <c r="R109" s="114">
        <f>I109*P109</f>
        <v>97227.245886792443</v>
      </c>
      <c r="S109" s="111" t="s">
        <v>543</v>
      </c>
      <c r="T109" s="113">
        <v>0.4</v>
      </c>
      <c r="U109" s="114">
        <f>G109*T109</f>
        <v>858840.67200000014</v>
      </c>
      <c r="V109" s="114">
        <f>I109*T109</f>
        <v>64818.1639245283</v>
      </c>
      <c r="W109" s="111">
        <v>0</v>
      </c>
      <c r="X109" s="113">
        <v>0</v>
      </c>
      <c r="Y109" s="111">
        <v>0</v>
      </c>
      <c r="Z109" s="111">
        <v>0</v>
      </c>
      <c r="AA109" s="111" t="s">
        <v>32</v>
      </c>
      <c r="AB109" s="176"/>
      <c r="AC109" s="176"/>
    </row>
    <row r="110" spans="1:29" ht="16.5" x14ac:dyDescent="0.35">
      <c r="A110" s="10" t="s">
        <v>7</v>
      </c>
      <c r="B110" s="11" t="s">
        <v>539</v>
      </c>
      <c r="C110" s="12"/>
      <c r="D110" s="105" t="s">
        <v>7</v>
      </c>
      <c r="E110" s="106" t="s">
        <v>544</v>
      </c>
      <c r="F110" s="107">
        <v>43095</v>
      </c>
      <c r="G110" s="108">
        <v>80064627.340000004</v>
      </c>
      <c r="H110" s="109">
        <v>0.10349999999999998</v>
      </c>
      <c r="I110" s="108">
        <v>7817631.0657452811</v>
      </c>
      <c r="J110" s="110" t="s">
        <v>538</v>
      </c>
      <c r="K110" s="111">
        <v>12</v>
      </c>
      <c r="L110" s="112" t="s">
        <v>536</v>
      </c>
      <c r="M110" s="111"/>
      <c r="N110" s="111" t="s">
        <v>29</v>
      </c>
      <c r="O110" s="111" t="s">
        <v>543</v>
      </c>
      <c r="P110" s="113">
        <v>0.6</v>
      </c>
      <c r="Q110" s="111">
        <f>G110*P110</f>
        <v>48038776.403999999</v>
      </c>
      <c r="R110" s="114">
        <f>I110*P110</f>
        <v>4690578.6394471684</v>
      </c>
      <c r="S110" s="111" t="s">
        <v>542</v>
      </c>
      <c r="T110" s="113">
        <v>0.4</v>
      </c>
      <c r="U110" s="111">
        <f>G110*T110</f>
        <v>32025850.936000004</v>
      </c>
      <c r="V110" s="111">
        <f>I110*T110</f>
        <v>3127052.4262981126</v>
      </c>
      <c r="W110" s="111">
        <v>0</v>
      </c>
      <c r="X110" s="113">
        <v>0</v>
      </c>
      <c r="Y110" s="111">
        <v>0</v>
      </c>
      <c r="Z110" s="111">
        <v>0</v>
      </c>
      <c r="AA110" s="111" t="s">
        <v>32</v>
      </c>
      <c r="AB110" s="176"/>
      <c r="AC110" s="176"/>
    </row>
    <row r="111" spans="1:29" ht="49.5" x14ac:dyDescent="0.35">
      <c r="A111" s="10" t="s">
        <v>7</v>
      </c>
      <c r="B111" s="11" t="s">
        <v>537</v>
      </c>
      <c r="C111" s="12"/>
      <c r="D111" s="115" t="s">
        <v>7</v>
      </c>
      <c r="E111" s="116" t="s">
        <v>545</v>
      </c>
      <c r="F111" s="66">
        <v>43053</v>
      </c>
      <c r="G111" s="117">
        <v>5000</v>
      </c>
      <c r="H111" s="118">
        <v>1</v>
      </c>
      <c r="I111" s="117">
        <v>4716.9811320754716</v>
      </c>
      <c r="J111" s="119" t="s">
        <v>538</v>
      </c>
      <c r="K111" s="120">
        <v>11</v>
      </c>
      <c r="L111" s="121" t="s">
        <v>546</v>
      </c>
      <c r="M111" s="120"/>
      <c r="N111" s="120" t="s">
        <v>29</v>
      </c>
      <c r="O111" s="120" t="s">
        <v>547</v>
      </c>
      <c r="P111" s="122">
        <v>1</v>
      </c>
      <c r="Q111" s="120">
        <f>G111*P111</f>
        <v>5000</v>
      </c>
      <c r="R111" s="123">
        <f>I111*P111</f>
        <v>4716.9811320754716</v>
      </c>
      <c r="S111" s="120"/>
      <c r="T111" s="122"/>
      <c r="U111" s="120">
        <f>G111*T111</f>
        <v>0</v>
      </c>
      <c r="V111" s="120">
        <f>I111*T111</f>
        <v>0</v>
      </c>
      <c r="W111" s="120"/>
      <c r="X111" s="122"/>
      <c r="Y111" s="120"/>
      <c r="Z111" s="120"/>
      <c r="AA111" s="120" t="s">
        <v>8</v>
      </c>
      <c r="AB111" s="176"/>
      <c r="AC111" s="176"/>
    </row>
    <row r="112" spans="1:29" ht="49.5" x14ac:dyDescent="0.35">
      <c r="A112" s="10" t="s">
        <v>7</v>
      </c>
      <c r="B112" s="11" t="s">
        <v>537</v>
      </c>
      <c r="C112" s="12"/>
      <c r="D112" s="105" t="s">
        <v>7</v>
      </c>
      <c r="E112" s="106" t="s">
        <v>548</v>
      </c>
      <c r="F112" s="107">
        <v>43069</v>
      </c>
      <c r="G112" s="108">
        <v>48858689.799999997</v>
      </c>
      <c r="H112" s="109">
        <v>0.08</v>
      </c>
      <c r="I112" s="108">
        <v>3687448.2867924524</v>
      </c>
      <c r="J112" s="110" t="s">
        <v>538</v>
      </c>
      <c r="K112" s="111">
        <v>11</v>
      </c>
      <c r="L112" s="124" t="s">
        <v>549</v>
      </c>
      <c r="M112" s="111"/>
      <c r="N112" s="111" t="s">
        <v>29</v>
      </c>
      <c r="O112" s="111" t="s">
        <v>543</v>
      </c>
      <c r="P112" s="113">
        <v>0.6</v>
      </c>
      <c r="Q112" s="111">
        <f>G112*P112</f>
        <v>29315213.879999999</v>
      </c>
      <c r="R112" s="114">
        <f>I112*P112</f>
        <v>2212468.9720754712</v>
      </c>
      <c r="S112" s="111" t="s">
        <v>542</v>
      </c>
      <c r="T112" s="113">
        <v>0.4</v>
      </c>
      <c r="U112" s="111">
        <f>G112*T112</f>
        <v>19543475.919999998</v>
      </c>
      <c r="V112" s="111">
        <f>I112*T112</f>
        <v>1474979.314716981</v>
      </c>
      <c r="W112" s="111"/>
      <c r="X112" s="113"/>
      <c r="Y112" s="111"/>
      <c r="Z112" s="111"/>
      <c r="AA112" s="111" t="s">
        <v>32</v>
      </c>
      <c r="AB112" s="176"/>
      <c r="AC112" s="176"/>
    </row>
    <row r="113" spans="1:29" ht="49.5" x14ac:dyDescent="0.35">
      <c r="A113" s="10" t="s">
        <v>71</v>
      </c>
      <c r="B113" s="11" t="s">
        <v>560</v>
      </c>
      <c r="C113" s="12"/>
      <c r="D113" s="13" t="s">
        <v>7</v>
      </c>
      <c r="E113" s="14" t="s">
        <v>561</v>
      </c>
      <c r="F113" s="15">
        <v>43066</v>
      </c>
      <c r="G113" s="16">
        <v>3720200</v>
      </c>
      <c r="H113" s="17">
        <v>0.05</v>
      </c>
      <c r="I113" s="16">
        <v>158982.905982906</v>
      </c>
      <c r="J113" s="18" t="s">
        <v>562</v>
      </c>
      <c r="K113" s="12">
        <v>11</v>
      </c>
      <c r="L113" s="47" t="s">
        <v>563</v>
      </c>
      <c r="M113" s="12"/>
      <c r="N113" s="12" t="s">
        <v>74</v>
      </c>
      <c r="O113" s="8" t="s">
        <v>564</v>
      </c>
      <c r="P113" s="9">
        <v>0.5</v>
      </c>
      <c r="Q113" s="8">
        <f>3720200/2</f>
        <v>1860100</v>
      </c>
      <c r="R113" s="8">
        <f>158982.905982906/2</f>
        <v>79491.452991452999</v>
      </c>
      <c r="S113" s="8" t="s">
        <v>565</v>
      </c>
      <c r="T113" s="9">
        <v>0.5</v>
      </c>
      <c r="U113" s="8">
        <f>3720200/2</f>
        <v>1860100</v>
      </c>
      <c r="V113" s="8">
        <f>158982.905982906/2</f>
        <v>79491.452991452999</v>
      </c>
      <c r="W113" s="8" t="s">
        <v>31</v>
      </c>
      <c r="X113" s="9">
        <v>0</v>
      </c>
      <c r="Y113" s="8">
        <v>0</v>
      </c>
      <c r="Z113" s="8">
        <v>0</v>
      </c>
      <c r="AA113" s="8" t="s">
        <v>8</v>
      </c>
      <c r="AB113" s="176"/>
      <c r="AC113" s="176"/>
    </row>
    <row r="114" spans="1:29" ht="16.5" x14ac:dyDescent="0.35">
      <c r="A114" s="10" t="s">
        <v>102</v>
      </c>
      <c r="B114" s="11" t="s">
        <v>568</v>
      </c>
      <c r="C114" s="12"/>
      <c r="D114" s="13" t="s">
        <v>102</v>
      </c>
      <c r="E114" s="14" t="s">
        <v>569</v>
      </c>
      <c r="F114" s="15">
        <v>43089</v>
      </c>
      <c r="G114" s="16">
        <v>1600000</v>
      </c>
      <c r="H114" s="17">
        <v>0.53459999999999996</v>
      </c>
      <c r="I114" s="16">
        <v>806943.39622641506</v>
      </c>
      <c r="J114" s="18" t="s">
        <v>570</v>
      </c>
      <c r="K114" s="12">
        <v>12</v>
      </c>
      <c r="L114" s="19" t="s">
        <v>571</v>
      </c>
      <c r="M114" s="12"/>
      <c r="N114" s="12" t="s">
        <v>105</v>
      </c>
      <c r="O114" s="8" t="s">
        <v>572</v>
      </c>
      <c r="P114" s="9">
        <v>1</v>
      </c>
      <c r="Q114" s="68">
        <v>1600000</v>
      </c>
      <c r="R114" s="68">
        <v>806943.39622641506</v>
      </c>
      <c r="S114" s="8">
        <v>0</v>
      </c>
      <c r="T114" s="9">
        <v>0</v>
      </c>
      <c r="U114" s="8">
        <v>0</v>
      </c>
      <c r="V114" s="8">
        <v>0</v>
      </c>
      <c r="W114" s="8">
        <v>0</v>
      </c>
      <c r="X114" s="9">
        <v>0</v>
      </c>
      <c r="Y114" s="8">
        <v>0</v>
      </c>
      <c r="Z114" s="8">
        <v>0</v>
      </c>
      <c r="AA114" s="8" t="s">
        <v>32</v>
      </c>
      <c r="AB114" s="176"/>
      <c r="AC114" s="176"/>
    </row>
    <row r="115" spans="1:29" ht="16.5" x14ac:dyDescent="0.35">
      <c r="A115" s="10" t="s">
        <v>7</v>
      </c>
      <c r="B115" s="11" t="s">
        <v>568</v>
      </c>
      <c r="C115" s="12"/>
      <c r="D115" s="13" t="s">
        <v>7</v>
      </c>
      <c r="E115" s="14" t="s">
        <v>573</v>
      </c>
      <c r="F115" s="15">
        <v>43098</v>
      </c>
      <c r="G115" s="16">
        <v>100200000</v>
      </c>
      <c r="H115" s="17">
        <v>0.3</v>
      </c>
      <c r="I115" s="16">
        <v>28358490.566037733</v>
      </c>
      <c r="J115" s="18" t="s">
        <v>570</v>
      </c>
      <c r="K115" s="12">
        <v>12</v>
      </c>
      <c r="L115" s="19" t="s">
        <v>574</v>
      </c>
      <c r="M115" s="12"/>
      <c r="N115" s="12" t="s">
        <v>29</v>
      </c>
      <c r="O115" s="8" t="s">
        <v>572</v>
      </c>
      <c r="P115" s="9">
        <v>1</v>
      </c>
      <c r="Q115" s="68">
        <v>100200000</v>
      </c>
      <c r="R115" s="68">
        <v>28358490.566037733</v>
      </c>
      <c r="S115" s="8">
        <v>0</v>
      </c>
      <c r="T115" s="9">
        <v>0</v>
      </c>
      <c r="U115" s="8">
        <v>0</v>
      </c>
      <c r="V115" s="8">
        <v>0</v>
      </c>
      <c r="W115" s="8">
        <v>0</v>
      </c>
      <c r="X115" s="9">
        <v>0</v>
      </c>
      <c r="Y115" s="8">
        <v>0</v>
      </c>
      <c r="Z115" s="8">
        <v>0</v>
      </c>
      <c r="AA115" s="8" t="s">
        <v>32</v>
      </c>
      <c r="AB115" s="176"/>
      <c r="AC115" s="176"/>
    </row>
    <row r="116" spans="1:29" ht="16.5" x14ac:dyDescent="0.35">
      <c r="A116" s="10" t="s">
        <v>36</v>
      </c>
      <c r="B116" s="11" t="s">
        <v>585</v>
      </c>
      <c r="C116" s="12"/>
      <c r="D116" s="13" t="s">
        <v>36</v>
      </c>
      <c r="E116" s="14" t="s">
        <v>586</v>
      </c>
      <c r="F116" s="15">
        <v>43081</v>
      </c>
      <c r="G116" s="16">
        <v>948772</v>
      </c>
      <c r="H116" s="17">
        <v>5.000000000000001E-2</v>
      </c>
      <c r="I116" s="16">
        <v>40545.811965811976</v>
      </c>
      <c r="J116" s="18" t="s">
        <v>587</v>
      </c>
      <c r="K116" s="12">
        <v>12</v>
      </c>
      <c r="L116" s="19" t="s">
        <v>583</v>
      </c>
      <c r="M116" s="12"/>
      <c r="N116" s="12" t="s">
        <v>40</v>
      </c>
      <c r="O116" s="18" t="s">
        <v>587</v>
      </c>
      <c r="P116" s="133">
        <v>1</v>
      </c>
      <c r="Q116" s="16">
        <v>948772</v>
      </c>
      <c r="R116" s="16">
        <v>40545.811965811976</v>
      </c>
      <c r="S116" s="8">
        <v>0</v>
      </c>
      <c r="T116" s="9">
        <v>0</v>
      </c>
      <c r="U116" s="8">
        <v>0</v>
      </c>
      <c r="V116" s="8">
        <v>0</v>
      </c>
      <c r="W116" s="8">
        <v>0</v>
      </c>
      <c r="X116" s="9">
        <v>0</v>
      </c>
      <c r="Y116" s="8">
        <v>0</v>
      </c>
      <c r="Z116" s="8">
        <v>0</v>
      </c>
      <c r="AA116" s="134" t="s">
        <v>35</v>
      </c>
      <c r="AB116" s="176"/>
      <c r="AC116" s="176"/>
    </row>
    <row r="117" spans="1:29" ht="16.5" x14ac:dyDescent="0.35">
      <c r="A117" s="10" t="s">
        <v>36</v>
      </c>
      <c r="B117" s="11" t="s">
        <v>585</v>
      </c>
      <c r="C117" s="12"/>
      <c r="D117" s="13" t="s">
        <v>36</v>
      </c>
      <c r="E117" s="14" t="s">
        <v>588</v>
      </c>
      <c r="F117" s="15">
        <v>43081</v>
      </c>
      <c r="G117" s="16">
        <v>62000</v>
      </c>
      <c r="H117" s="17">
        <v>0.24190000000000003</v>
      </c>
      <c r="I117" s="16">
        <v>12818.63247863248</v>
      </c>
      <c r="J117" s="18" t="s">
        <v>587</v>
      </c>
      <c r="K117" s="12">
        <v>12</v>
      </c>
      <c r="L117" s="19" t="s">
        <v>589</v>
      </c>
      <c r="M117" s="12"/>
      <c r="N117" s="12" t="s">
        <v>40</v>
      </c>
      <c r="O117" s="18" t="s">
        <v>587</v>
      </c>
      <c r="P117" s="133">
        <v>1</v>
      </c>
      <c r="Q117" s="16">
        <v>62000</v>
      </c>
      <c r="R117" s="16">
        <v>12818.63247863248</v>
      </c>
      <c r="S117" s="8">
        <v>0</v>
      </c>
      <c r="T117" s="9">
        <v>0</v>
      </c>
      <c r="U117" s="8">
        <v>0</v>
      </c>
      <c r="V117" s="8">
        <v>0</v>
      </c>
      <c r="W117" s="8">
        <v>0</v>
      </c>
      <c r="X117" s="9">
        <v>0</v>
      </c>
      <c r="Y117" s="8">
        <v>0</v>
      </c>
      <c r="Z117" s="8">
        <v>0</v>
      </c>
      <c r="AA117" s="134" t="s">
        <v>32</v>
      </c>
      <c r="AB117" s="176"/>
      <c r="AC117" s="176"/>
    </row>
    <row r="118" spans="1:29" ht="16.5" x14ac:dyDescent="0.35">
      <c r="A118" s="10" t="s">
        <v>36</v>
      </c>
      <c r="B118" s="11" t="s">
        <v>585</v>
      </c>
      <c r="C118" s="12"/>
      <c r="D118" s="13" t="s">
        <v>36</v>
      </c>
      <c r="E118" s="14" t="s">
        <v>590</v>
      </c>
      <c r="F118" s="15">
        <v>43082</v>
      </c>
      <c r="G118" s="16">
        <v>320500</v>
      </c>
      <c r="H118" s="17">
        <v>0.70000000000000007</v>
      </c>
      <c r="I118" s="16">
        <v>211650.94339622644</v>
      </c>
      <c r="J118" s="18" t="s">
        <v>587</v>
      </c>
      <c r="K118" s="12">
        <v>12</v>
      </c>
      <c r="L118" s="19" t="s">
        <v>591</v>
      </c>
      <c r="M118" s="12"/>
      <c r="N118" s="12" t="s">
        <v>40</v>
      </c>
      <c r="O118" s="18" t="s">
        <v>587</v>
      </c>
      <c r="P118" s="133">
        <v>1</v>
      </c>
      <c r="Q118" s="16">
        <v>320500</v>
      </c>
      <c r="R118" s="16">
        <v>211650.94339622644</v>
      </c>
      <c r="S118" s="8">
        <v>0</v>
      </c>
      <c r="T118" s="9">
        <v>0</v>
      </c>
      <c r="U118" s="8">
        <v>0</v>
      </c>
      <c r="V118" s="8">
        <v>0</v>
      </c>
      <c r="W118" s="8">
        <v>0</v>
      </c>
      <c r="X118" s="9">
        <v>0</v>
      </c>
      <c r="Y118" s="8">
        <v>0</v>
      </c>
      <c r="Z118" s="8">
        <v>0</v>
      </c>
      <c r="AA118" s="134" t="s">
        <v>35</v>
      </c>
      <c r="AB118" s="176"/>
      <c r="AC118" s="176"/>
    </row>
    <row r="119" spans="1:29" ht="16.5" x14ac:dyDescent="0.35">
      <c r="A119" s="10" t="s">
        <v>36</v>
      </c>
      <c r="B119" s="11" t="s">
        <v>585</v>
      </c>
      <c r="C119" s="12"/>
      <c r="D119" s="13" t="s">
        <v>36</v>
      </c>
      <c r="E119" s="14" t="s">
        <v>590</v>
      </c>
      <c r="F119" s="15">
        <v>43082</v>
      </c>
      <c r="G119" s="16">
        <v>259300</v>
      </c>
      <c r="H119" s="17">
        <v>0.1</v>
      </c>
      <c r="I119" s="16">
        <v>22162.393162393164</v>
      </c>
      <c r="J119" s="18" t="s">
        <v>587</v>
      </c>
      <c r="K119" s="12">
        <v>12</v>
      </c>
      <c r="L119" s="19" t="s">
        <v>591</v>
      </c>
      <c r="M119" s="12"/>
      <c r="N119" s="12" t="s">
        <v>40</v>
      </c>
      <c r="O119" s="18" t="s">
        <v>587</v>
      </c>
      <c r="P119" s="133">
        <v>1</v>
      </c>
      <c r="Q119" s="16">
        <v>259300</v>
      </c>
      <c r="R119" s="16">
        <v>22162.393162393164</v>
      </c>
      <c r="S119" s="8">
        <v>0</v>
      </c>
      <c r="T119" s="9">
        <v>0</v>
      </c>
      <c r="U119" s="8">
        <v>0</v>
      </c>
      <c r="V119" s="8">
        <v>0</v>
      </c>
      <c r="W119" s="8">
        <v>0</v>
      </c>
      <c r="X119" s="9">
        <v>0</v>
      </c>
      <c r="Y119" s="8">
        <v>0</v>
      </c>
      <c r="Z119" s="8">
        <v>0</v>
      </c>
      <c r="AA119" s="134" t="s">
        <v>35</v>
      </c>
      <c r="AB119" s="176"/>
      <c r="AC119" s="176"/>
    </row>
    <row r="120" spans="1:29" ht="16.5" x14ac:dyDescent="0.35">
      <c r="A120" s="10" t="s">
        <v>36</v>
      </c>
      <c r="B120" s="11" t="s">
        <v>585</v>
      </c>
      <c r="C120" s="12"/>
      <c r="D120" s="13" t="s">
        <v>36</v>
      </c>
      <c r="E120" s="14" t="s">
        <v>592</v>
      </c>
      <c r="F120" s="15">
        <v>43084</v>
      </c>
      <c r="G120" s="16">
        <v>846000</v>
      </c>
      <c r="H120" s="17">
        <v>0.7</v>
      </c>
      <c r="I120" s="16">
        <v>558679.2452830188</v>
      </c>
      <c r="J120" s="18" t="s">
        <v>587</v>
      </c>
      <c r="K120" s="12">
        <v>12</v>
      </c>
      <c r="L120" s="19" t="s">
        <v>593</v>
      </c>
      <c r="M120" s="12"/>
      <c r="N120" s="12" t="s">
        <v>40</v>
      </c>
      <c r="O120" s="18" t="s">
        <v>587</v>
      </c>
      <c r="P120" s="133">
        <v>1</v>
      </c>
      <c r="Q120" s="16">
        <v>846000</v>
      </c>
      <c r="R120" s="16">
        <v>558679.2452830188</v>
      </c>
      <c r="S120" s="8">
        <v>0</v>
      </c>
      <c r="T120" s="9">
        <v>0</v>
      </c>
      <c r="U120" s="8">
        <v>0</v>
      </c>
      <c r="V120" s="8">
        <v>0</v>
      </c>
      <c r="W120" s="8">
        <v>0</v>
      </c>
      <c r="X120" s="9">
        <v>0</v>
      </c>
      <c r="Y120" s="8">
        <v>0</v>
      </c>
      <c r="Z120" s="8">
        <v>0</v>
      </c>
      <c r="AA120" s="134" t="s">
        <v>32</v>
      </c>
      <c r="AB120" s="176"/>
      <c r="AC120" s="176"/>
    </row>
    <row r="121" spans="1:29" ht="16.5" x14ac:dyDescent="0.35">
      <c r="A121" s="10" t="s">
        <v>36</v>
      </c>
      <c r="B121" s="11" t="s">
        <v>585</v>
      </c>
      <c r="C121" s="12"/>
      <c r="D121" s="13" t="s">
        <v>36</v>
      </c>
      <c r="E121" s="14" t="s">
        <v>594</v>
      </c>
      <c r="F121" s="15">
        <v>43087</v>
      </c>
      <c r="G121" s="16">
        <v>200300</v>
      </c>
      <c r="H121" s="17">
        <v>0.70950000000000002</v>
      </c>
      <c r="I121" s="16">
        <v>134068.72641509434</v>
      </c>
      <c r="J121" s="18" t="s">
        <v>582</v>
      </c>
      <c r="K121" s="12">
        <v>12</v>
      </c>
      <c r="L121" s="19" t="s">
        <v>595</v>
      </c>
      <c r="M121" s="12"/>
      <c r="N121" s="12" t="s">
        <v>40</v>
      </c>
      <c r="O121" s="18" t="s">
        <v>582</v>
      </c>
      <c r="P121" s="133">
        <v>1</v>
      </c>
      <c r="Q121" s="16">
        <v>200300</v>
      </c>
      <c r="R121" s="16">
        <v>134068.72641509434</v>
      </c>
      <c r="S121" s="8">
        <v>0</v>
      </c>
      <c r="T121" s="9">
        <v>0</v>
      </c>
      <c r="U121" s="8">
        <v>0</v>
      </c>
      <c r="V121" s="8">
        <v>0</v>
      </c>
      <c r="W121" s="8">
        <v>0</v>
      </c>
      <c r="X121" s="9">
        <v>0</v>
      </c>
      <c r="Y121" s="8">
        <v>0</v>
      </c>
      <c r="Z121" s="8">
        <v>0</v>
      </c>
      <c r="AA121" s="134" t="s">
        <v>35</v>
      </c>
      <c r="AB121" s="176"/>
      <c r="AC121" s="176"/>
    </row>
    <row r="122" spans="1:29" ht="16.5" x14ac:dyDescent="0.35">
      <c r="A122" s="10" t="s">
        <v>36</v>
      </c>
      <c r="B122" s="11" t="s">
        <v>585</v>
      </c>
      <c r="C122" s="12"/>
      <c r="D122" s="13" t="s">
        <v>36</v>
      </c>
      <c r="E122" s="14" t="s">
        <v>596</v>
      </c>
      <c r="F122" s="15">
        <v>43088</v>
      </c>
      <c r="G122" s="16">
        <v>63500</v>
      </c>
      <c r="H122" s="17">
        <v>0.25979999999999998</v>
      </c>
      <c r="I122" s="16">
        <v>14100.25641025641</v>
      </c>
      <c r="J122" s="18" t="s">
        <v>582</v>
      </c>
      <c r="K122" s="12">
        <v>12</v>
      </c>
      <c r="L122" s="19" t="s">
        <v>597</v>
      </c>
      <c r="M122" s="12"/>
      <c r="N122" s="12" t="s">
        <v>40</v>
      </c>
      <c r="O122" s="18" t="s">
        <v>582</v>
      </c>
      <c r="P122" s="133">
        <v>1</v>
      </c>
      <c r="Q122" s="16">
        <v>63500</v>
      </c>
      <c r="R122" s="16">
        <v>14100.25641025641</v>
      </c>
      <c r="S122" s="8">
        <v>0</v>
      </c>
      <c r="T122" s="9">
        <v>0</v>
      </c>
      <c r="U122" s="8">
        <v>0</v>
      </c>
      <c r="V122" s="8">
        <v>0</v>
      </c>
      <c r="W122" s="8">
        <v>0</v>
      </c>
      <c r="X122" s="9">
        <v>0</v>
      </c>
      <c r="Y122" s="8">
        <v>0</v>
      </c>
      <c r="Z122" s="8">
        <v>0</v>
      </c>
      <c r="AA122" s="134" t="s">
        <v>32</v>
      </c>
      <c r="AB122" s="176"/>
      <c r="AC122" s="176"/>
    </row>
    <row r="123" spans="1:29" ht="16.5" x14ac:dyDescent="0.35">
      <c r="A123" s="10" t="s">
        <v>36</v>
      </c>
      <c r="B123" s="11" t="s">
        <v>585</v>
      </c>
      <c r="C123" s="12"/>
      <c r="D123" s="13" t="s">
        <v>36</v>
      </c>
      <c r="E123" s="14" t="s">
        <v>598</v>
      </c>
      <c r="F123" s="15">
        <v>43090</v>
      </c>
      <c r="G123" s="16">
        <v>60325</v>
      </c>
      <c r="H123" s="17">
        <v>0.22090000000000004</v>
      </c>
      <c r="I123" s="16">
        <v>11389.566239316242</v>
      </c>
      <c r="J123" s="18" t="s">
        <v>582</v>
      </c>
      <c r="K123" s="12">
        <v>12</v>
      </c>
      <c r="L123" s="19" t="s">
        <v>599</v>
      </c>
      <c r="M123" s="12"/>
      <c r="N123" s="12" t="s">
        <v>40</v>
      </c>
      <c r="O123" s="18" t="s">
        <v>582</v>
      </c>
      <c r="P123" s="133">
        <v>1</v>
      </c>
      <c r="Q123" s="16">
        <v>60325</v>
      </c>
      <c r="R123" s="16">
        <v>11389.566239316242</v>
      </c>
      <c r="S123" s="8">
        <v>0</v>
      </c>
      <c r="T123" s="9">
        <v>0</v>
      </c>
      <c r="U123" s="8">
        <v>0</v>
      </c>
      <c r="V123" s="8">
        <v>0</v>
      </c>
      <c r="W123" s="8">
        <v>0</v>
      </c>
      <c r="X123" s="9">
        <v>0</v>
      </c>
      <c r="Y123" s="8">
        <v>0</v>
      </c>
      <c r="Z123" s="8">
        <v>0</v>
      </c>
      <c r="AA123" s="134" t="s">
        <v>32</v>
      </c>
      <c r="AB123" s="176"/>
      <c r="AC123" s="176"/>
    </row>
    <row r="124" spans="1:29" ht="16.5" x14ac:dyDescent="0.35">
      <c r="A124" s="10" t="s">
        <v>36</v>
      </c>
      <c r="B124" s="11" t="s">
        <v>585</v>
      </c>
      <c r="C124" s="12"/>
      <c r="D124" s="13" t="s">
        <v>36</v>
      </c>
      <c r="E124" s="14" t="s">
        <v>600</v>
      </c>
      <c r="F124" s="15">
        <v>43095</v>
      </c>
      <c r="G124" s="16">
        <v>280000</v>
      </c>
      <c r="H124" s="17">
        <v>0.70000000000000007</v>
      </c>
      <c r="I124" s="16">
        <v>184905.66037735852</v>
      </c>
      <c r="J124" s="18" t="s">
        <v>587</v>
      </c>
      <c r="K124" s="12">
        <v>12</v>
      </c>
      <c r="L124" s="19" t="s">
        <v>601</v>
      </c>
      <c r="M124" s="12"/>
      <c r="N124" s="12" t="s">
        <v>40</v>
      </c>
      <c r="O124" s="18" t="s">
        <v>587</v>
      </c>
      <c r="P124" s="133">
        <v>1</v>
      </c>
      <c r="Q124" s="16">
        <v>280000</v>
      </c>
      <c r="R124" s="16">
        <v>184905.66037735852</v>
      </c>
      <c r="S124" s="8">
        <v>0</v>
      </c>
      <c r="T124" s="9">
        <v>0</v>
      </c>
      <c r="U124" s="8">
        <v>0</v>
      </c>
      <c r="V124" s="8">
        <v>0</v>
      </c>
      <c r="W124" s="8">
        <v>0</v>
      </c>
      <c r="X124" s="9">
        <v>0</v>
      </c>
      <c r="Y124" s="8">
        <v>0</v>
      </c>
      <c r="Z124" s="8">
        <v>0</v>
      </c>
      <c r="AA124" s="134" t="s">
        <v>35</v>
      </c>
      <c r="AB124" s="176"/>
      <c r="AC124" s="176"/>
    </row>
    <row r="125" spans="1:29" ht="16.5" x14ac:dyDescent="0.35">
      <c r="A125" s="10" t="s">
        <v>102</v>
      </c>
      <c r="B125" s="11" t="s">
        <v>585</v>
      </c>
      <c r="C125" s="12"/>
      <c r="D125" s="13" t="s">
        <v>102</v>
      </c>
      <c r="E125" s="14" t="s">
        <v>602</v>
      </c>
      <c r="F125" s="15">
        <v>43096</v>
      </c>
      <c r="G125" s="16">
        <v>3000000</v>
      </c>
      <c r="H125" s="17">
        <v>0.89770000000000005</v>
      </c>
      <c r="I125" s="16">
        <v>2540660.3773584906</v>
      </c>
      <c r="J125" s="18" t="s">
        <v>584</v>
      </c>
      <c r="K125" s="12">
        <v>12</v>
      </c>
      <c r="L125" s="19" t="s">
        <v>603</v>
      </c>
      <c r="M125" s="12"/>
      <c r="N125" s="12" t="s">
        <v>105</v>
      </c>
      <c r="O125" s="18" t="s">
        <v>584</v>
      </c>
      <c r="P125" s="133">
        <v>1</v>
      </c>
      <c r="Q125" s="16">
        <v>3000000</v>
      </c>
      <c r="R125" s="16">
        <v>2540660.3773584906</v>
      </c>
      <c r="S125" s="8">
        <v>0</v>
      </c>
      <c r="T125" s="9">
        <v>0</v>
      </c>
      <c r="U125" s="8">
        <v>0</v>
      </c>
      <c r="V125" s="8">
        <v>0</v>
      </c>
      <c r="W125" s="8">
        <v>0</v>
      </c>
      <c r="X125" s="9">
        <v>0</v>
      </c>
      <c r="Y125" s="8">
        <v>0</v>
      </c>
      <c r="Z125" s="8">
        <v>0</v>
      </c>
      <c r="AA125" s="134" t="s">
        <v>32</v>
      </c>
      <c r="AB125" s="176"/>
      <c r="AC125" s="176"/>
    </row>
    <row r="126" spans="1:29" ht="16.5" x14ac:dyDescent="0.35">
      <c r="A126" s="10" t="s">
        <v>36</v>
      </c>
      <c r="B126" s="11" t="s">
        <v>585</v>
      </c>
      <c r="C126" s="12"/>
      <c r="D126" s="13" t="s">
        <v>36</v>
      </c>
      <c r="E126" s="14" t="s">
        <v>604</v>
      </c>
      <c r="F126" s="15">
        <v>43097</v>
      </c>
      <c r="G126" s="16">
        <v>62000</v>
      </c>
      <c r="H126" s="17">
        <v>0.24190000000000003</v>
      </c>
      <c r="I126" s="16">
        <v>12818.63247863248</v>
      </c>
      <c r="J126" s="18" t="s">
        <v>582</v>
      </c>
      <c r="K126" s="12">
        <v>12</v>
      </c>
      <c r="L126" s="19" t="s">
        <v>605</v>
      </c>
      <c r="M126" s="12"/>
      <c r="N126" s="12" t="s">
        <v>40</v>
      </c>
      <c r="O126" s="18" t="s">
        <v>582</v>
      </c>
      <c r="P126" s="133">
        <v>1</v>
      </c>
      <c r="Q126" s="16">
        <v>62000</v>
      </c>
      <c r="R126" s="16">
        <v>12818.63247863248</v>
      </c>
      <c r="S126" s="8">
        <v>0</v>
      </c>
      <c r="T126" s="9">
        <v>0</v>
      </c>
      <c r="U126" s="8">
        <v>0</v>
      </c>
      <c r="V126" s="8">
        <v>0</v>
      </c>
      <c r="W126" s="8">
        <v>0</v>
      </c>
      <c r="X126" s="9">
        <v>0</v>
      </c>
      <c r="Y126" s="8">
        <v>0</v>
      </c>
      <c r="Z126" s="8">
        <v>0</v>
      </c>
      <c r="AA126" s="134" t="s">
        <v>32</v>
      </c>
      <c r="AB126" s="176"/>
      <c r="AC126" s="176"/>
    </row>
    <row r="127" spans="1:29" ht="16.5" x14ac:dyDescent="0.35">
      <c r="A127" s="10" t="s">
        <v>36</v>
      </c>
      <c r="B127" s="11" t="s">
        <v>585</v>
      </c>
      <c r="C127" s="12"/>
      <c r="D127" s="13" t="s">
        <v>36</v>
      </c>
      <c r="E127" s="14" t="s">
        <v>606</v>
      </c>
      <c r="F127" s="15">
        <v>43097</v>
      </c>
      <c r="G127" s="16">
        <v>600000</v>
      </c>
      <c r="H127" s="17">
        <v>0.69999999999999984</v>
      </c>
      <c r="I127" s="16">
        <v>396226.41509433952</v>
      </c>
      <c r="J127" s="18" t="s">
        <v>582</v>
      </c>
      <c r="K127" s="12">
        <v>12</v>
      </c>
      <c r="L127" s="19" t="s">
        <v>607</v>
      </c>
      <c r="M127" s="12"/>
      <c r="N127" s="12" t="s">
        <v>40</v>
      </c>
      <c r="O127" s="18" t="s">
        <v>582</v>
      </c>
      <c r="P127" s="133">
        <v>1</v>
      </c>
      <c r="Q127" s="16">
        <v>600000</v>
      </c>
      <c r="R127" s="16">
        <v>396226.41509433952</v>
      </c>
      <c r="S127" s="8">
        <v>0</v>
      </c>
      <c r="T127" s="9">
        <v>0</v>
      </c>
      <c r="U127" s="8">
        <v>0</v>
      </c>
      <c r="V127" s="8">
        <v>0</v>
      </c>
      <c r="W127" s="8">
        <v>0</v>
      </c>
      <c r="X127" s="9">
        <v>0</v>
      </c>
      <c r="Y127" s="8">
        <v>0</v>
      </c>
      <c r="Z127" s="8">
        <v>0</v>
      </c>
      <c r="AA127" s="134" t="s">
        <v>35</v>
      </c>
      <c r="AB127" s="176"/>
      <c r="AC127" s="176"/>
    </row>
    <row r="128" spans="1:29" ht="49.5" x14ac:dyDescent="0.35">
      <c r="A128" s="10" t="s">
        <v>36</v>
      </c>
      <c r="B128" s="20" t="s">
        <v>608</v>
      </c>
      <c r="C128" s="20"/>
      <c r="D128" s="10" t="s">
        <v>36</v>
      </c>
      <c r="E128" s="14" t="s">
        <v>609</v>
      </c>
      <c r="F128" s="21">
        <v>43034</v>
      </c>
      <c r="G128" s="22">
        <v>70000</v>
      </c>
      <c r="H128" s="20">
        <v>1</v>
      </c>
      <c r="I128" s="23">
        <v>66037.735849056597</v>
      </c>
      <c r="J128" s="24" t="s">
        <v>582</v>
      </c>
      <c r="K128" s="12">
        <v>10</v>
      </c>
      <c r="L128" s="25" t="s">
        <v>610</v>
      </c>
      <c r="M128" s="20">
        <v>0.06</v>
      </c>
      <c r="N128" s="26" t="s">
        <v>40</v>
      </c>
      <c r="O128" s="24" t="s">
        <v>582</v>
      </c>
      <c r="P128" s="133">
        <v>1</v>
      </c>
      <c r="Q128" s="22">
        <v>70000</v>
      </c>
      <c r="R128" s="23">
        <v>66037.735849056597</v>
      </c>
      <c r="S128" s="8"/>
      <c r="T128" s="9"/>
      <c r="U128" s="8"/>
      <c r="V128" s="8"/>
      <c r="W128" s="8"/>
      <c r="X128" s="9"/>
      <c r="Y128" s="8"/>
      <c r="Z128" s="8"/>
      <c r="AA128" s="134" t="s">
        <v>5</v>
      </c>
      <c r="AB128" s="176"/>
      <c r="AC128" s="176"/>
    </row>
    <row r="129" spans="1:29" ht="49.5" x14ac:dyDescent="0.35">
      <c r="A129" s="10" t="s">
        <v>36</v>
      </c>
      <c r="B129" s="11" t="s">
        <v>581</v>
      </c>
      <c r="C129" s="12"/>
      <c r="D129" s="13" t="s">
        <v>36</v>
      </c>
      <c r="E129" s="14" t="s">
        <v>611</v>
      </c>
      <c r="F129" s="15">
        <v>43066</v>
      </c>
      <c r="G129" s="16">
        <v>280000</v>
      </c>
      <c r="H129" s="17">
        <v>0.70000000000000007</v>
      </c>
      <c r="I129" s="16">
        <v>184905.66037735852</v>
      </c>
      <c r="J129" s="18" t="s">
        <v>582</v>
      </c>
      <c r="K129" s="12">
        <v>11</v>
      </c>
      <c r="L129" s="47" t="s">
        <v>612</v>
      </c>
      <c r="M129" s="12"/>
      <c r="N129" s="12" t="s">
        <v>40</v>
      </c>
      <c r="O129" s="18" t="s">
        <v>582</v>
      </c>
      <c r="P129" s="133">
        <v>1</v>
      </c>
      <c r="Q129" s="16">
        <v>280000</v>
      </c>
      <c r="R129" s="16">
        <v>184905.66037735852</v>
      </c>
      <c r="S129" s="8"/>
      <c r="T129" s="9"/>
      <c r="U129" s="8"/>
      <c r="V129" s="8"/>
      <c r="W129" s="8"/>
      <c r="X129" s="9"/>
      <c r="Y129" s="8"/>
      <c r="Z129" s="8"/>
      <c r="AA129" s="134" t="s">
        <v>5</v>
      </c>
      <c r="AB129" s="176"/>
      <c r="AC129" s="176"/>
    </row>
    <row r="130" spans="1:29" ht="49.5" x14ac:dyDescent="0.35">
      <c r="A130" s="10" t="s">
        <v>36</v>
      </c>
      <c r="B130" s="11" t="s">
        <v>581</v>
      </c>
      <c r="C130" s="12"/>
      <c r="D130" s="13" t="s">
        <v>36</v>
      </c>
      <c r="E130" s="14" t="s">
        <v>613</v>
      </c>
      <c r="F130" s="15">
        <v>43067</v>
      </c>
      <c r="G130" s="16">
        <v>140000</v>
      </c>
      <c r="H130" s="17">
        <v>0.25</v>
      </c>
      <c r="I130" s="16">
        <v>33018.867924528298</v>
      </c>
      <c r="J130" s="18" t="s">
        <v>582</v>
      </c>
      <c r="K130" s="12">
        <v>11</v>
      </c>
      <c r="L130" s="47" t="s">
        <v>614</v>
      </c>
      <c r="M130" s="12"/>
      <c r="N130" s="12" t="s">
        <v>40</v>
      </c>
      <c r="O130" s="18" t="s">
        <v>582</v>
      </c>
      <c r="P130" s="133">
        <v>1</v>
      </c>
      <c r="Q130" s="16">
        <v>140000</v>
      </c>
      <c r="R130" s="16">
        <v>33018.867924528298</v>
      </c>
      <c r="S130" s="8"/>
      <c r="T130" s="9"/>
      <c r="U130" s="8"/>
      <c r="V130" s="8"/>
      <c r="W130" s="8"/>
      <c r="X130" s="9"/>
      <c r="Y130" s="8"/>
      <c r="Z130" s="8"/>
      <c r="AA130" s="134" t="s">
        <v>5</v>
      </c>
      <c r="AB130" s="176"/>
      <c r="AC130" s="176"/>
    </row>
    <row r="131" spans="1:29" ht="49.5" x14ac:dyDescent="0.35">
      <c r="A131" s="10" t="s">
        <v>36</v>
      </c>
      <c r="B131" s="11" t="s">
        <v>581</v>
      </c>
      <c r="C131" s="12"/>
      <c r="D131" s="13" t="s">
        <v>36</v>
      </c>
      <c r="E131" s="14" t="s">
        <v>615</v>
      </c>
      <c r="F131" s="15">
        <v>43068</v>
      </c>
      <c r="G131" s="16">
        <v>-192560</v>
      </c>
      <c r="H131" s="17">
        <v>0.79000000000000259</v>
      </c>
      <c r="I131" s="16">
        <v>-143511.698113208</v>
      </c>
      <c r="J131" s="18" t="s">
        <v>582</v>
      </c>
      <c r="K131" s="12">
        <v>11</v>
      </c>
      <c r="L131" s="47" t="s">
        <v>616</v>
      </c>
      <c r="M131" s="12"/>
      <c r="N131" s="12" t="s">
        <v>40</v>
      </c>
      <c r="O131" s="18" t="s">
        <v>582</v>
      </c>
      <c r="P131" s="133">
        <v>1</v>
      </c>
      <c r="Q131" s="16">
        <v>-192560</v>
      </c>
      <c r="R131" s="16">
        <v>-143511.698113208</v>
      </c>
      <c r="S131" s="8"/>
      <c r="T131" s="9"/>
      <c r="U131" s="8"/>
      <c r="V131" s="8"/>
      <c r="W131" s="8"/>
      <c r="X131" s="9"/>
      <c r="Y131" s="8"/>
      <c r="Z131" s="8"/>
      <c r="AA131" s="134" t="s">
        <v>8</v>
      </c>
      <c r="AB131" s="176"/>
      <c r="AC131" s="176"/>
    </row>
    <row r="132" spans="1:29" ht="49.5" x14ac:dyDescent="0.35">
      <c r="A132" s="10" t="s">
        <v>36</v>
      </c>
      <c r="B132" s="11" t="s">
        <v>581</v>
      </c>
      <c r="C132" s="12"/>
      <c r="D132" s="13" t="s">
        <v>36</v>
      </c>
      <c r="E132" s="14" t="s">
        <v>615</v>
      </c>
      <c r="F132" s="15">
        <v>43068</v>
      </c>
      <c r="G132" s="16">
        <v>192560</v>
      </c>
      <c r="H132" s="17">
        <v>0.78510000000000002</v>
      </c>
      <c r="I132" s="16">
        <v>142621.56226415094</v>
      </c>
      <c r="J132" s="18" t="s">
        <v>582</v>
      </c>
      <c r="K132" s="12">
        <v>11</v>
      </c>
      <c r="L132" s="47" t="s">
        <v>616</v>
      </c>
      <c r="M132" s="12"/>
      <c r="N132" s="12" t="s">
        <v>40</v>
      </c>
      <c r="O132" s="18" t="s">
        <v>582</v>
      </c>
      <c r="P132" s="133">
        <v>1</v>
      </c>
      <c r="Q132" s="16">
        <v>192560</v>
      </c>
      <c r="R132" s="16">
        <v>142621.56226415094</v>
      </c>
      <c r="S132" s="8"/>
      <c r="T132" s="9"/>
      <c r="U132" s="8"/>
      <c r="V132" s="8"/>
      <c r="W132" s="8"/>
      <c r="X132" s="9"/>
      <c r="Y132" s="8"/>
      <c r="Z132" s="8"/>
      <c r="AA132" s="134" t="s">
        <v>8</v>
      </c>
      <c r="AB132" s="176"/>
      <c r="AC132" s="176"/>
    </row>
    <row r="133" spans="1:29" ht="49.5" x14ac:dyDescent="0.35">
      <c r="A133" s="10" t="s">
        <v>36</v>
      </c>
      <c r="B133" s="11" t="s">
        <v>581</v>
      </c>
      <c r="C133" s="12"/>
      <c r="D133" s="13" t="s">
        <v>36</v>
      </c>
      <c r="E133" s="14" t="s">
        <v>617</v>
      </c>
      <c r="F133" s="15">
        <v>43068</v>
      </c>
      <c r="G133" s="16">
        <v>286200</v>
      </c>
      <c r="H133" s="17">
        <v>0.68500000000000005</v>
      </c>
      <c r="I133" s="16">
        <v>184950.00000000003</v>
      </c>
      <c r="J133" s="18" t="s">
        <v>587</v>
      </c>
      <c r="K133" s="12">
        <v>11</v>
      </c>
      <c r="L133" s="47" t="s">
        <v>618</v>
      </c>
      <c r="M133" s="12"/>
      <c r="N133" s="12" t="s">
        <v>40</v>
      </c>
      <c r="O133" s="18" t="s">
        <v>587</v>
      </c>
      <c r="P133" s="133">
        <v>1</v>
      </c>
      <c r="Q133" s="16">
        <v>286200</v>
      </c>
      <c r="R133" s="16">
        <v>184950.00000000003</v>
      </c>
      <c r="S133" s="8"/>
      <c r="T133" s="9"/>
      <c r="U133" s="8"/>
      <c r="V133" s="8"/>
      <c r="W133" s="8"/>
      <c r="X133" s="9"/>
      <c r="Y133" s="8"/>
      <c r="Z133" s="8"/>
      <c r="AA133" s="134" t="s">
        <v>5</v>
      </c>
      <c r="AB133" s="176"/>
      <c r="AC133" s="176"/>
    </row>
    <row r="134" spans="1:29" ht="16.5" x14ac:dyDescent="0.35">
      <c r="A134" s="10" t="s">
        <v>36</v>
      </c>
      <c r="B134" s="11" t="s">
        <v>659</v>
      </c>
      <c r="C134" s="74"/>
      <c r="D134" s="13" t="s">
        <v>36</v>
      </c>
      <c r="E134" s="75" t="s">
        <v>660</v>
      </c>
      <c r="F134" s="76">
        <v>43088</v>
      </c>
      <c r="G134" s="77">
        <v>105000</v>
      </c>
      <c r="H134" s="78">
        <v>0.59050000000000002</v>
      </c>
      <c r="I134" s="77">
        <v>58492.924528301897</v>
      </c>
      <c r="J134" s="79" t="s">
        <v>661</v>
      </c>
      <c r="K134" s="74">
        <v>12</v>
      </c>
      <c r="L134" s="19" t="s">
        <v>662</v>
      </c>
      <c r="M134" s="74"/>
      <c r="N134" s="74" t="s">
        <v>40</v>
      </c>
      <c r="O134" s="72" t="s">
        <v>661</v>
      </c>
      <c r="P134" s="80">
        <v>1</v>
      </c>
      <c r="Q134" s="72">
        <v>0</v>
      </c>
      <c r="R134" s="72">
        <v>0</v>
      </c>
      <c r="S134" s="72">
        <v>0</v>
      </c>
      <c r="T134" s="73">
        <v>0</v>
      </c>
      <c r="U134" s="72">
        <v>0</v>
      </c>
      <c r="V134" s="72">
        <v>0</v>
      </c>
      <c r="W134" s="72">
        <v>0</v>
      </c>
      <c r="X134" s="73">
        <v>0</v>
      </c>
      <c r="Y134" s="72">
        <v>0</v>
      </c>
      <c r="Z134" s="72">
        <v>0</v>
      </c>
      <c r="AA134" s="72" t="s">
        <v>35</v>
      </c>
      <c r="AB134" s="176"/>
      <c r="AC134" s="176"/>
    </row>
    <row r="135" spans="1:29" ht="49.5" x14ac:dyDescent="0.35">
      <c r="A135" s="10" t="s">
        <v>7</v>
      </c>
      <c r="B135" s="20" t="s">
        <v>659</v>
      </c>
      <c r="C135" s="20"/>
      <c r="D135" s="10" t="s">
        <v>7</v>
      </c>
      <c r="E135" s="75" t="s">
        <v>663</v>
      </c>
      <c r="F135" s="81">
        <v>43027</v>
      </c>
      <c r="G135" s="22">
        <v>2580000</v>
      </c>
      <c r="H135" s="20">
        <v>1.9023255813953401E-2</v>
      </c>
      <c r="I135" s="23">
        <v>41948.7179487178</v>
      </c>
      <c r="J135" s="24">
        <v>0</v>
      </c>
      <c r="K135" s="74">
        <v>10</v>
      </c>
      <c r="L135" s="25" t="s">
        <v>664</v>
      </c>
      <c r="M135" s="20">
        <v>0.17</v>
      </c>
      <c r="N135" s="82" t="s">
        <v>29</v>
      </c>
      <c r="O135" s="72" t="s">
        <v>665</v>
      </c>
      <c r="P135" s="80">
        <v>0.6</v>
      </c>
      <c r="Q135" s="72"/>
      <c r="R135" s="72"/>
      <c r="S135" s="72" t="s">
        <v>661</v>
      </c>
      <c r="T135" s="80">
        <v>0.4</v>
      </c>
      <c r="U135" s="72"/>
      <c r="V135" s="72"/>
      <c r="W135" s="72"/>
      <c r="X135" s="73"/>
      <c r="Y135" s="72"/>
      <c r="Z135" s="72"/>
      <c r="AA135" s="72" t="s">
        <v>35</v>
      </c>
      <c r="AB135" s="176"/>
      <c r="AC135" s="176"/>
    </row>
    <row r="136" spans="1:29" ht="49.5" x14ac:dyDescent="0.35">
      <c r="A136" s="10" t="s">
        <v>36</v>
      </c>
      <c r="B136" s="20" t="s">
        <v>659</v>
      </c>
      <c r="C136" s="20"/>
      <c r="D136" s="10" t="s">
        <v>36</v>
      </c>
      <c r="E136" s="75" t="s">
        <v>666</v>
      </c>
      <c r="F136" s="81">
        <v>43035</v>
      </c>
      <c r="G136" s="22">
        <v>98000</v>
      </c>
      <c r="H136" s="20">
        <v>1</v>
      </c>
      <c r="I136" s="23">
        <v>92452.830188679203</v>
      </c>
      <c r="J136" s="24" t="s">
        <v>661</v>
      </c>
      <c r="K136" s="74">
        <v>10</v>
      </c>
      <c r="L136" s="25" t="s">
        <v>667</v>
      </c>
      <c r="M136" s="20">
        <v>0.06</v>
      </c>
      <c r="N136" s="82" t="s">
        <v>40</v>
      </c>
      <c r="O136" s="72" t="s">
        <v>661</v>
      </c>
      <c r="P136" s="80">
        <v>1</v>
      </c>
      <c r="Q136" s="72"/>
      <c r="R136" s="72"/>
      <c r="S136" s="72"/>
      <c r="T136" s="73"/>
      <c r="U136" s="72"/>
      <c r="V136" s="72"/>
      <c r="W136" s="72"/>
      <c r="X136" s="73"/>
      <c r="Y136" s="72"/>
      <c r="Z136" s="72"/>
      <c r="AA136" s="72" t="s">
        <v>32</v>
      </c>
      <c r="AB136" s="176"/>
      <c r="AC136" s="176"/>
    </row>
    <row r="137" spans="1:29" ht="16.5" x14ac:dyDescent="0.35">
      <c r="A137" s="10" t="s">
        <v>7</v>
      </c>
      <c r="B137" s="11" t="s">
        <v>679</v>
      </c>
      <c r="C137" s="12"/>
      <c r="D137" s="13" t="s">
        <v>7</v>
      </c>
      <c r="E137" s="14" t="s">
        <v>703</v>
      </c>
      <c r="F137" s="15">
        <v>43073</v>
      </c>
      <c r="G137" s="16">
        <v>19972.3</v>
      </c>
      <c r="H137" s="17">
        <v>0.3</v>
      </c>
      <c r="I137" s="16">
        <v>5652.5377358490559</v>
      </c>
      <c r="J137" s="18" t="s">
        <v>692</v>
      </c>
      <c r="K137" s="12">
        <v>12</v>
      </c>
      <c r="L137" s="19" t="s">
        <v>704</v>
      </c>
      <c r="M137" s="12"/>
      <c r="N137" s="12" t="s">
        <v>29</v>
      </c>
      <c r="O137" s="8">
        <v>0</v>
      </c>
      <c r="P137" s="9">
        <v>0</v>
      </c>
      <c r="Q137" s="8">
        <v>0</v>
      </c>
      <c r="R137" s="8">
        <v>0</v>
      </c>
      <c r="S137" s="8">
        <v>0</v>
      </c>
      <c r="T137" s="9">
        <v>0</v>
      </c>
      <c r="U137" s="8">
        <v>0</v>
      </c>
      <c r="V137" s="8">
        <v>0</v>
      </c>
      <c r="W137" s="8">
        <v>0</v>
      </c>
      <c r="X137" s="9">
        <v>0</v>
      </c>
      <c r="Y137" s="8">
        <v>0</v>
      </c>
      <c r="Z137" s="8">
        <v>0</v>
      </c>
      <c r="AA137" s="8" t="s">
        <v>32</v>
      </c>
      <c r="AB137" s="176"/>
      <c r="AC137" s="176"/>
    </row>
    <row r="138" spans="1:29" ht="16.5" x14ac:dyDescent="0.35">
      <c r="A138" s="10" t="s">
        <v>7</v>
      </c>
      <c r="B138" s="11" t="s">
        <v>679</v>
      </c>
      <c r="C138" s="12"/>
      <c r="D138" s="13" t="s">
        <v>7</v>
      </c>
      <c r="E138" s="14" t="s">
        <v>705</v>
      </c>
      <c r="F138" s="15">
        <v>43075</v>
      </c>
      <c r="G138" s="16">
        <v>57120</v>
      </c>
      <c r="H138" s="17">
        <v>0.3</v>
      </c>
      <c r="I138" s="16">
        <v>16166.037735849055</v>
      </c>
      <c r="J138" s="18" t="s">
        <v>689</v>
      </c>
      <c r="K138" s="12">
        <v>12</v>
      </c>
      <c r="L138" s="19" t="s">
        <v>706</v>
      </c>
      <c r="M138" s="12"/>
      <c r="N138" s="12" t="s">
        <v>29</v>
      </c>
      <c r="O138" s="8">
        <v>0</v>
      </c>
      <c r="P138" s="9">
        <v>0</v>
      </c>
      <c r="Q138" s="8">
        <v>0</v>
      </c>
      <c r="R138" s="8">
        <v>0</v>
      </c>
      <c r="S138" s="8">
        <v>0</v>
      </c>
      <c r="T138" s="9">
        <v>0</v>
      </c>
      <c r="U138" s="8">
        <v>0</v>
      </c>
      <c r="V138" s="8">
        <v>0</v>
      </c>
      <c r="W138" s="8">
        <v>0</v>
      </c>
      <c r="X138" s="9">
        <v>0</v>
      </c>
      <c r="Y138" s="8">
        <v>0</v>
      </c>
      <c r="Z138" s="8">
        <v>0</v>
      </c>
      <c r="AA138" s="8" t="s">
        <v>108</v>
      </c>
      <c r="AB138" s="176"/>
      <c r="AC138" s="176"/>
    </row>
    <row r="139" spans="1:29" ht="16.5" x14ac:dyDescent="0.35">
      <c r="A139" s="10" t="s">
        <v>7</v>
      </c>
      <c r="B139" s="11" t="s">
        <v>679</v>
      </c>
      <c r="C139" s="12"/>
      <c r="D139" s="13" t="s">
        <v>7</v>
      </c>
      <c r="E139" s="14" t="s">
        <v>707</v>
      </c>
      <c r="F139" s="15">
        <v>43075</v>
      </c>
      <c r="G139" s="16">
        <v>233663.86</v>
      </c>
      <c r="H139" s="17">
        <v>0.29999999999999993</v>
      </c>
      <c r="I139" s="16">
        <v>66131.281132075455</v>
      </c>
      <c r="J139" s="18" t="s">
        <v>692</v>
      </c>
      <c r="K139" s="12">
        <v>12</v>
      </c>
      <c r="L139" s="19" t="s">
        <v>708</v>
      </c>
      <c r="M139" s="12"/>
      <c r="N139" s="12" t="s">
        <v>29</v>
      </c>
      <c r="O139" s="8">
        <v>0</v>
      </c>
      <c r="P139" s="9">
        <v>0</v>
      </c>
      <c r="Q139" s="8">
        <v>0</v>
      </c>
      <c r="R139" s="8">
        <v>0</v>
      </c>
      <c r="S139" s="8">
        <v>0</v>
      </c>
      <c r="T139" s="9">
        <v>0</v>
      </c>
      <c r="U139" s="8">
        <v>0</v>
      </c>
      <c r="V139" s="8">
        <v>0</v>
      </c>
      <c r="W139" s="8">
        <v>0</v>
      </c>
      <c r="X139" s="9">
        <v>0</v>
      </c>
      <c r="Y139" s="8">
        <v>0</v>
      </c>
      <c r="Z139" s="8">
        <v>0</v>
      </c>
      <c r="AA139" s="8" t="s">
        <v>32</v>
      </c>
      <c r="AB139" s="176"/>
      <c r="AC139" s="176"/>
    </row>
    <row r="140" spans="1:29" ht="16.5" x14ac:dyDescent="0.35">
      <c r="A140" s="10" t="s">
        <v>7</v>
      </c>
      <c r="B140" s="11" t="s">
        <v>679</v>
      </c>
      <c r="C140" s="12"/>
      <c r="D140" s="13" t="s">
        <v>7</v>
      </c>
      <c r="E140" s="14" t="s">
        <v>709</v>
      </c>
      <c r="F140" s="15">
        <v>43075</v>
      </c>
      <c r="G140" s="16">
        <v>264221.40000000002</v>
      </c>
      <c r="H140" s="17">
        <v>0.3</v>
      </c>
      <c r="I140" s="16">
        <v>74779.641509433961</v>
      </c>
      <c r="J140" s="18" t="s">
        <v>692</v>
      </c>
      <c r="K140" s="12">
        <v>12</v>
      </c>
      <c r="L140" s="19" t="s">
        <v>700</v>
      </c>
      <c r="M140" s="12"/>
      <c r="N140" s="12" t="s">
        <v>29</v>
      </c>
      <c r="O140" s="8">
        <v>0</v>
      </c>
      <c r="P140" s="9">
        <v>0</v>
      </c>
      <c r="Q140" s="8">
        <v>0</v>
      </c>
      <c r="R140" s="8">
        <v>0</v>
      </c>
      <c r="S140" s="8">
        <v>0</v>
      </c>
      <c r="T140" s="9">
        <v>0</v>
      </c>
      <c r="U140" s="8">
        <v>0</v>
      </c>
      <c r="V140" s="8">
        <v>0</v>
      </c>
      <c r="W140" s="8">
        <v>0</v>
      </c>
      <c r="X140" s="9">
        <v>0</v>
      </c>
      <c r="Y140" s="8">
        <v>0</v>
      </c>
      <c r="Z140" s="8">
        <v>0</v>
      </c>
      <c r="AA140" s="8" t="s">
        <v>35</v>
      </c>
      <c r="AB140" s="176"/>
      <c r="AC140" s="176"/>
    </row>
    <row r="141" spans="1:29" ht="16.5" x14ac:dyDescent="0.35">
      <c r="A141" s="10" t="s">
        <v>7</v>
      </c>
      <c r="B141" s="11" t="s">
        <v>679</v>
      </c>
      <c r="C141" s="12"/>
      <c r="D141" s="13" t="s">
        <v>7</v>
      </c>
      <c r="E141" s="14" t="s">
        <v>710</v>
      </c>
      <c r="F141" s="15">
        <v>43075</v>
      </c>
      <c r="G141" s="16">
        <v>1040000</v>
      </c>
      <c r="H141" s="17">
        <v>9.4E-2</v>
      </c>
      <c r="I141" s="16">
        <v>92226.415094339623</v>
      </c>
      <c r="J141" s="18" t="s">
        <v>711</v>
      </c>
      <c r="K141" s="12">
        <v>12</v>
      </c>
      <c r="L141" s="19" t="s">
        <v>712</v>
      </c>
      <c r="M141" s="12"/>
      <c r="N141" s="12" t="s">
        <v>29</v>
      </c>
      <c r="O141" s="8">
        <v>0</v>
      </c>
      <c r="P141" s="9">
        <v>0</v>
      </c>
      <c r="Q141" s="8">
        <v>0</v>
      </c>
      <c r="R141" s="8">
        <v>0</v>
      </c>
      <c r="S141" s="8">
        <v>0</v>
      </c>
      <c r="T141" s="9">
        <v>0</v>
      </c>
      <c r="U141" s="8">
        <v>0</v>
      </c>
      <c r="V141" s="8">
        <v>0</v>
      </c>
      <c r="W141" s="8">
        <v>0</v>
      </c>
      <c r="X141" s="9">
        <v>0</v>
      </c>
      <c r="Y141" s="8">
        <v>0</v>
      </c>
      <c r="Z141" s="8">
        <v>0</v>
      </c>
      <c r="AA141" s="8" t="s">
        <v>35</v>
      </c>
      <c r="AB141" s="176"/>
      <c r="AC141" s="176"/>
    </row>
    <row r="142" spans="1:29" ht="16.5" x14ac:dyDescent="0.35">
      <c r="A142" s="10" t="s">
        <v>7</v>
      </c>
      <c r="B142" s="11" t="s">
        <v>679</v>
      </c>
      <c r="C142" s="12"/>
      <c r="D142" s="13" t="s">
        <v>7</v>
      </c>
      <c r="E142" s="14" t="s">
        <v>713</v>
      </c>
      <c r="F142" s="15">
        <v>43075</v>
      </c>
      <c r="G142" s="16">
        <v>2638864</v>
      </c>
      <c r="H142" s="17">
        <v>0.17580000000000001</v>
      </c>
      <c r="I142" s="16">
        <v>437653.10490566038</v>
      </c>
      <c r="J142" s="18" t="s">
        <v>692</v>
      </c>
      <c r="K142" s="12">
        <v>12</v>
      </c>
      <c r="L142" s="19" t="s">
        <v>714</v>
      </c>
      <c r="M142" s="12"/>
      <c r="N142" s="12" t="s">
        <v>29</v>
      </c>
      <c r="O142" s="8">
        <v>0</v>
      </c>
      <c r="P142" s="9">
        <v>0</v>
      </c>
      <c r="Q142" s="8">
        <v>0</v>
      </c>
      <c r="R142" s="8">
        <v>0</v>
      </c>
      <c r="S142" s="8">
        <v>0</v>
      </c>
      <c r="T142" s="9">
        <v>0</v>
      </c>
      <c r="U142" s="8">
        <v>0</v>
      </c>
      <c r="V142" s="8">
        <v>0</v>
      </c>
      <c r="W142" s="8">
        <v>0</v>
      </c>
      <c r="X142" s="9">
        <v>0</v>
      </c>
      <c r="Y142" s="8">
        <v>0</v>
      </c>
      <c r="Z142" s="8">
        <v>0</v>
      </c>
      <c r="AA142" s="8" t="s">
        <v>35</v>
      </c>
      <c r="AB142" s="176"/>
      <c r="AC142" s="176"/>
    </row>
    <row r="143" spans="1:29" ht="16.5" x14ac:dyDescent="0.35">
      <c r="A143" s="10" t="s">
        <v>7</v>
      </c>
      <c r="B143" s="11" t="s">
        <v>679</v>
      </c>
      <c r="C143" s="12"/>
      <c r="D143" s="13" t="s">
        <v>7</v>
      </c>
      <c r="E143" s="14" t="s">
        <v>715</v>
      </c>
      <c r="F143" s="15">
        <v>43081</v>
      </c>
      <c r="G143" s="16">
        <v>3171420</v>
      </c>
      <c r="H143" s="17">
        <v>0.34719999999999995</v>
      </c>
      <c r="I143" s="16">
        <v>1038789.6452830186</v>
      </c>
      <c r="J143" s="18" t="s">
        <v>685</v>
      </c>
      <c r="K143" s="12">
        <v>12</v>
      </c>
      <c r="L143" s="19" t="s">
        <v>716</v>
      </c>
      <c r="M143" s="12"/>
      <c r="N143" s="12" t="s">
        <v>29</v>
      </c>
      <c r="O143" s="8">
        <v>0</v>
      </c>
      <c r="P143" s="9">
        <v>0</v>
      </c>
      <c r="Q143" s="8">
        <v>0</v>
      </c>
      <c r="R143" s="8">
        <v>0</v>
      </c>
      <c r="S143" s="8">
        <v>0</v>
      </c>
      <c r="T143" s="9">
        <v>0</v>
      </c>
      <c r="U143" s="8">
        <v>0</v>
      </c>
      <c r="V143" s="8">
        <v>0</v>
      </c>
      <c r="W143" s="8">
        <v>0</v>
      </c>
      <c r="X143" s="9">
        <v>0</v>
      </c>
      <c r="Y143" s="8">
        <v>0</v>
      </c>
      <c r="Z143" s="8">
        <v>0</v>
      </c>
      <c r="AA143" s="8" t="s">
        <v>35</v>
      </c>
      <c r="AB143" s="176"/>
      <c r="AC143" s="176"/>
    </row>
    <row r="144" spans="1:29" ht="16.5" x14ac:dyDescent="0.35">
      <c r="A144" s="10" t="s">
        <v>7</v>
      </c>
      <c r="B144" s="11" t="s">
        <v>679</v>
      </c>
      <c r="C144" s="12"/>
      <c r="D144" s="13" t="s">
        <v>7</v>
      </c>
      <c r="E144" s="14" t="s">
        <v>717</v>
      </c>
      <c r="F144" s="15">
        <v>43082</v>
      </c>
      <c r="G144" s="16">
        <v>523800</v>
      </c>
      <c r="H144" s="17">
        <v>0.3</v>
      </c>
      <c r="I144" s="16">
        <v>148245.28301886792</v>
      </c>
      <c r="J144" s="18" t="s">
        <v>682</v>
      </c>
      <c r="K144" s="12">
        <v>12</v>
      </c>
      <c r="L144" s="19" t="s">
        <v>718</v>
      </c>
      <c r="M144" s="12"/>
      <c r="N144" s="12" t="s">
        <v>29</v>
      </c>
      <c r="O144" s="8">
        <v>0</v>
      </c>
      <c r="P144" s="9">
        <v>0</v>
      </c>
      <c r="Q144" s="8">
        <v>0</v>
      </c>
      <c r="R144" s="8">
        <v>0</v>
      </c>
      <c r="S144" s="8">
        <v>0</v>
      </c>
      <c r="T144" s="9">
        <v>0</v>
      </c>
      <c r="U144" s="8">
        <v>0</v>
      </c>
      <c r="V144" s="8">
        <v>0</v>
      </c>
      <c r="W144" s="8">
        <v>0</v>
      </c>
      <c r="X144" s="9">
        <v>0</v>
      </c>
      <c r="Y144" s="8">
        <v>0</v>
      </c>
      <c r="Z144" s="8">
        <v>0</v>
      </c>
      <c r="AA144" s="8" t="s">
        <v>32</v>
      </c>
      <c r="AB144" s="176"/>
      <c r="AC144" s="176"/>
    </row>
    <row r="145" spans="1:29" ht="16.5" x14ac:dyDescent="0.35">
      <c r="A145" s="10" t="s">
        <v>7</v>
      </c>
      <c r="B145" s="11" t="s">
        <v>679</v>
      </c>
      <c r="C145" s="12"/>
      <c r="D145" s="13" t="s">
        <v>7</v>
      </c>
      <c r="E145" s="14" t="s">
        <v>719</v>
      </c>
      <c r="F145" s="15">
        <v>42660</v>
      </c>
      <c r="G145" s="16">
        <v>-119232.4</v>
      </c>
      <c r="H145" s="17">
        <v>0.29999999999999977</v>
      </c>
      <c r="I145" s="16">
        <v>-33745.018867924504</v>
      </c>
      <c r="J145" s="150" t="s">
        <v>720</v>
      </c>
      <c r="K145" s="12">
        <v>12</v>
      </c>
      <c r="L145" s="19" t="s">
        <v>721</v>
      </c>
      <c r="M145" s="12"/>
      <c r="N145" s="12" t="s">
        <v>29</v>
      </c>
      <c r="O145" s="8" t="e">
        <v>#N/A</v>
      </c>
      <c r="P145" s="9" t="e">
        <v>#N/A</v>
      </c>
      <c r="Q145" s="8" t="e">
        <v>#N/A</v>
      </c>
      <c r="R145" s="8" t="e">
        <v>#N/A</v>
      </c>
      <c r="S145" s="8" t="e">
        <v>#N/A</v>
      </c>
      <c r="T145" s="9" t="e">
        <v>#N/A</v>
      </c>
      <c r="U145" s="8" t="e">
        <v>#N/A</v>
      </c>
      <c r="V145" s="8" t="e">
        <v>#N/A</v>
      </c>
      <c r="W145" s="8" t="e">
        <v>#N/A</v>
      </c>
      <c r="X145" s="9" t="e">
        <v>#N/A</v>
      </c>
      <c r="Y145" s="8" t="e">
        <v>#N/A</v>
      </c>
      <c r="Z145" s="8" t="e">
        <v>#N/A</v>
      </c>
      <c r="AA145" s="8" t="e">
        <v>#N/A</v>
      </c>
      <c r="AB145" s="176"/>
      <c r="AC145" s="176"/>
    </row>
    <row r="146" spans="1:29" ht="16.5" x14ac:dyDescent="0.35">
      <c r="A146" s="10" t="s">
        <v>7</v>
      </c>
      <c r="B146" s="11" t="s">
        <v>679</v>
      </c>
      <c r="C146" s="12"/>
      <c r="D146" s="13" t="s">
        <v>7</v>
      </c>
      <c r="E146" s="14" t="s">
        <v>722</v>
      </c>
      <c r="F146" s="15">
        <v>42660</v>
      </c>
      <c r="G146" s="16">
        <v>100927.2</v>
      </c>
      <c r="H146" s="17">
        <v>0.29999999999999977</v>
      </c>
      <c r="I146" s="16">
        <v>28564.301886792426</v>
      </c>
      <c r="J146" s="150" t="s">
        <v>720</v>
      </c>
      <c r="K146" s="12">
        <v>12</v>
      </c>
      <c r="L146" s="19" t="s">
        <v>721</v>
      </c>
      <c r="M146" s="12"/>
      <c r="N146" s="12" t="s">
        <v>29</v>
      </c>
      <c r="O146" s="8" t="e">
        <v>#N/A</v>
      </c>
      <c r="P146" s="9" t="e">
        <v>#N/A</v>
      </c>
      <c r="Q146" s="8" t="e">
        <v>#N/A</v>
      </c>
      <c r="R146" s="8" t="e">
        <v>#N/A</v>
      </c>
      <c r="S146" s="8" t="e">
        <v>#N/A</v>
      </c>
      <c r="T146" s="9" t="e">
        <v>#N/A</v>
      </c>
      <c r="U146" s="8" t="e">
        <v>#N/A</v>
      </c>
      <c r="V146" s="8" t="e">
        <v>#N/A</v>
      </c>
      <c r="W146" s="8" t="e">
        <v>#N/A</v>
      </c>
      <c r="X146" s="9" t="e">
        <v>#N/A</v>
      </c>
      <c r="Y146" s="8" t="e">
        <v>#N/A</v>
      </c>
      <c r="Z146" s="8" t="e">
        <v>#N/A</v>
      </c>
      <c r="AA146" s="8" t="e">
        <v>#N/A</v>
      </c>
      <c r="AB146" s="176"/>
      <c r="AC146" s="176"/>
    </row>
    <row r="147" spans="1:29" ht="16.5" x14ac:dyDescent="0.35">
      <c r="A147" s="10" t="s">
        <v>36</v>
      </c>
      <c r="B147" s="11" t="s">
        <v>679</v>
      </c>
      <c r="C147" s="12"/>
      <c r="D147" s="13" t="s">
        <v>36</v>
      </c>
      <c r="E147" s="14" t="s">
        <v>723</v>
      </c>
      <c r="F147" s="15">
        <v>43084</v>
      </c>
      <c r="G147" s="16">
        <v>238000</v>
      </c>
      <c r="H147" s="17">
        <v>1</v>
      </c>
      <c r="I147" s="16">
        <v>224528.30188679244</v>
      </c>
      <c r="J147" s="18" t="s">
        <v>680</v>
      </c>
      <c r="K147" s="12">
        <v>12</v>
      </c>
      <c r="L147" s="19" t="s">
        <v>724</v>
      </c>
      <c r="M147" s="12"/>
      <c r="N147" s="12" t="s">
        <v>40</v>
      </c>
      <c r="O147" s="8">
        <v>0</v>
      </c>
      <c r="P147" s="9">
        <v>0</v>
      </c>
      <c r="Q147" s="8">
        <v>0</v>
      </c>
      <c r="R147" s="8">
        <v>0</v>
      </c>
      <c r="S147" s="8">
        <v>0</v>
      </c>
      <c r="T147" s="9">
        <v>0</v>
      </c>
      <c r="U147" s="8">
        <v>0</v>
      </c>
      <c r="V147" s="8">
        <v>0</v>
      </c>
      <c r="W147" s="8">
        <v>0</v>
      </c>
      <c r="X147" s="9">
        <v>0</v>
      </c>
      <c r="Y147" s="8">
        <v>0</v>
      </c>
      <c r="Z147" s="8">
        <v>0</v>
      </c>
      <c r="AA147" s="8" t="s">
        <v>32</v>
      </c>
      <c r="AB147" s="176"/>
      <c r="AC147" s="176"/>
    </row>
    <row r="148" spans="1:29" ht="16.5" x14ac:dyDescent="0.35">
      <c r="A148" s="10" t="s">
        <v>7</v>
      </c>
      <c r="B148" s="11" t="s">
        <v>679</v>
      </c>
      <c r="C148" s="12"/>
      <c r="D148" s="13" t="s">
        <v>7</v>
      </c>
      <c r="E148" s="14" t="s">
        <v>725</v>
      </c>
      <c r="F148" s="15">
        <v>43084</v>
      </c>
      <c r="G148" s="16">
        <v>33414153.199999999</v>
      </c>
      <c r="H148" s="17">
        <v>0.40760000000000002</v>
      </c>
      <c r="I148" s="16">
        <v>12848687.588981131</v>
      </c>
      <c r="J148" s="18" t="s">
        <v>682</v>
      </c>
      <c r="K148" s="12">
        <v>12</v>
      </c>
      <c r="L148" s="19" t="s">
        <v>726</v>
      </c>
      <c r="M148" s="12"/>
      <c r="N148" s="12" t="s">
        <v>29</v>
      </c>
      <c r="O148" s="8">
        <v>0</v>
      </c>
      <c r="P148" s="9">
        <v>0</v>
      </c>
      <c r="Q148" s="8">
        <v>0</v>
      </c>
      <c r="R148" s="8">
        <v>0</v>
      </c>
      <c r="S148" s="8">
        <v>0</v>
      </c>
      <c r="T148" s="9">
        <v>0</v>
      </c>
      <c r="U148" s="8">
        <v>0</v>
      </c>
      <c r="V148" s="8">
        <v>0</v>
      </c>
      <c r="W148" s="8">
        <v>0</v>
      </c>
      <c r="X148" s="9">
        <v>0</v>
      </c>
      <c r="Y148" s="8">
        <v>0</v>
      </c>
      <c r="Z148" s="8">
        <v>0</v>
      </c>
      <c r="AA148" s="8" t="s">
        <v>32</v>
      </c>
      <c r="AB148" s="176"/>
      <c r="AC148" s="176"/>
    </row>
    <row r="149" spans="1:29" ht="16.5" x14ac:dyDescent="0.35">
      <c r="A149" s="10" t="s">
        <v>36</v>
      </c>
      <c r="B149" s="11" t="s">
        <v>679</v>
      </c>
      <c r="C149" s="12"/>
      <c r="D149" s="13" t="s">
        <v>36</v>
      </c>
      <c r="E149" s="14" t="s">
        <v>727</v>
      </c>
      <c r="F149" s="15">
        <v>43088</v>
      </c>
      <c r="G149" s="16">
        <v>6127841</v>
      </c>
      <c r="H149" s="17">
        <v>0.91900000000000015</v>
      </c>
      <c r="I149" s="16">
        <v>5312722.527358491</v>
      </c>
      <c r="J149" s="18" t="s">
        <v>680</v>
      </c>
      <c r="K149" s="12">
        <v>12</v>
      </c>
      <c r="L149" s="19" t="s">
        <v>728</v>
      </c>
      <c r="M149" s="12"/>
      <c r="N149" s="12" t="s">
        <v>40</v>
      </c>
      <c r="O149" s="8">
        <v>0</v>
      </c>
      <c r="P149" s="9">
        <v>0</v>
      </c>
      <c r="Q149" s="8">
        <v>0</v>
      </c>
      <c r="R149" s="8">
        <v>0</v>
      </c>
      <c r="S149" s="8">
        <v>0</v>
      </c>
      <c r="T149" s="9">
        <v>0</v>
      </c>
      <c r="U149" s="8">
        <v>0</v>
      </c>
      <c r="V149" s="8">
        <v>0</v>
      </c>
      <c r="W149" s="8">
        <v>0</v>
      </c>
      <c r="X149" s="9">
        <v>0</v>
      </c>
      <c r="Y149" s="8">
        <v>0</v>
      </c>
      <c r="Z149" s="8">
        <v>0</v>
      </c>
      <c r="AA149" s="8" t="s">
        <v>32</v>
      </c>
      <c r="AB149" s="176"/>
      <c r="AC149" s="176"/>
    </row>
    <row r="150" spans="1:29" ht="16.5" x14ac:dyDescent="0.35">
      <c r="A150" s="10" t="s">
        <v>36</v>
      </c>
      <c r="B150" s="11" t="s">
        <v>679</v>
      </c>
      <c r="C150" s="12"/>
      <c r="D150" s="13" t="s">
        <v>36</v>
      </c>
      <c r="E150" s="14" t="s">
        <v>727</v>
      </c>
      <c r="F150" s="15">
        <v>43088</v>
      </c>
      <c r="G150" s="16">
        <v>3848723</v>
      </c>
      <c r="H150" s="17">
        <v>0.13350000000000001</v>
      </c>
      <c r="I150" s="16">
        <v>439149.16282051289</v>
      </c>
      <c r="J150" s="18" t="s">
        <v>680</v>
      </c>
      <c r="K150" s="12">
        <v>12</v>
      </c>
      <c r="L150" s="19" t="s">
        <v>728</v>
      </c>
      <c r="M150" s="12"/>
      <c r="N150" s="12" t="s">
        <v>40</v>
      </c>
      <c r="O150" s="8">
        <v>0</v>
      </c>
      <c r="P150" s="9">
        <v>0</v>
      </c>
      <c r="Q150" s="8">
        <v>0</v>
      </c>
      <c r="R150" s="8">
        <v>0</v>
      </c>
      <c r="S150" s="8">
        <v>0</v>
      </c>
      <c r="T150" s="9">
        <v>0</v>
      </c>
      <c r="U150" s="8">
        <v>0</v>
      </c>
      <c r="V150" s="8">
        <v>0</v>
      </c>
      <c r="W150" s="8">
        <v>0</v>
      </c>
      <c r="X150" s="9">
        <v>0</v>
      </c>
      <c r="Y150" s="8">
        <v>0</v>
      </c>
      <c r="Z150" s="8">
        <v>0</v>
      </c>
      <c r="AA150" s="8" t="s">
        <v>32</v>
      </c>
      <c r="AB150" s="176"/>
      <c r="AC150" s="176"/>
    </row>
    <row r="151" spans="1:29" ht="16.5" x14ac:dyDescent="0.35">
      <c r="A151" s="10" t="s">
        <v>36</v>
      </c>
      <c r="B151" s="11" t="s">
        <v>679</v>
      </c>
      <c r="C151" s="12"/>
      <c r="D151" s="13" t="s">
        <v>36</v>
      </c>
      <c r="E151" s="14" t="s">
        <v>729</v>
      </c>
      <c r="F151" s="15">
        <v>43088</v>
      </c>
      <c r="G151" s="16">
        <v>4260000</v>
      </c>
      <c r="H151" s="17">
        <v>0.93879999999999997</v>
      </c>
      <c r="I151" s="16">
        <v>3772913.2075471696</v>
      </c>
      <c r="J151" s="18" t="s">
        <v>680</v>
      </c>
      <c r="K151" s="12">
        <v>12</v>
      </c>
      <c r="L151" s="19" t="s">
        <v>730</v>
      </c>
      <c r="M151" s="12"/>
      <c r="N151" s="12" t="s">
        <v>40</v>
      </c>
      <c r="O151" s="8">
        <v>0</v>
      </c>
      <c r="P151" s="9">
        <v>0</v>
      </c>
      <c r="Q151" s="8">
        <v>0</v>
      </c>
      <c r="R151" s="8">
        <v>0</v>
      </c>
      <c r="S151" s="8">
        <v>0</v>
      </c>
      <c r="T151" s="9">
        <v>0</v>
      </c>
      <c r="U151" s="8">
        <v>0</v>
      </c>
      <c r="V151" s="8">
        <v>0</v>
      </c>
      <c r="W151" s="8">
        <v>0</v>
      </c>
      <c r="X151" s="9">
        <v>0</v>
      </c>
      <c r="Y151" s="8">
        <v>0</v>
      </c>
      <c r="Z151" s="8">
        <v>0</v>
      </c>
      <c r="AA151" s="8" t="s">
        <v>32</v>
      </c>
      <c r="AB151" s="176"/>
      <c r="AC151" s="176"/>
    </row>
    <row r="152" spans="1:29" ht="16.5" x14ac:dyDescent="0.35">
      <c r="A152" s="10" t="s">
        <v>7</v>
      </c>
      <c r="B152" s="11" t="s">
        <v>679</v>
      </c>
      <c r="C152" s="12"/>
      <c r="D152" s="13" t="s">
        <v>7</v>
      </c>
      <c r="E152" s="14" t="s">
        <v>731</v>
      </c>
      <c r="F152" s="15">
        <v>43090</v>
      </c>
      <c r="G152" s="16">
        <v>-179547</v>
      </c>
      <c r="H152" s="17">
        <v>0.3</v>
      </c>
      <c r="I152" s="16">
        <v>-50815.188679245279</v>
      </c>
      <c r="J152" s="150" t="s">
        <v>702</v>
      </c>
      <c r="K152" s="12">
        <v>12</v>
      </c>
      <c r="L152" s="19" t="s">
        <v>732</v>
      </c>
      <c r="M152" s="12"/>
      <c r="N152" s="12" t="s">
        <v>29</v>
      </c>
      <c r="O152" s="8">
        <v>0</v>
      </c>
      <c r="P152" s="9">
        <v>0</v>
      </c>
      <c r="Q152" s="8">
        <v>0</v>
      </c>
      <c r="R152" s="8">
        <v>0</v>
      </c>
      <c r="S152" s="8">
        <v>0</v>
      </c>
      <c r="T152" s="9">
        <v>0</v>
      </c>
      <c r="U152" s="8">
        <v>0</v>
      </c>
      <c r="V152" s="8">
        <v>0</v>
      </c>
      <c r="W152" s="8">
        <v>0</v>
      </c>
      <c r="X152" s="9">
        <v>0</v>
      </c>
      <c r="Y152" s="8">
        <v>0</v>
      </c>
      <c r="Z152" s="8">
        <v>0</v>
      </c>
      <c r="AA152" s="8">
        <v>0</v>
      </c>
      <c r="AB152" s="176"/>
      <c r="AC152" s="176"/>
    </row>
    <row r="153" spans="1:29" ht="16.5" x14ac:dyDescent="0.35">
      <c r="A153" s="10" t="s">
        <v>7</v>
      </c>
      <c r="B153" s="11" t="s">
        <v>679</v>
      </c>
      <c r="C153" s="12"/>
      <c r="D153" s="13" t="s">
        <v>7</v>
      </c>
      <c r="E153" s="14" t="s">
        <v>733</v>
      </c>
      <c r="F153" s="15">
        <v>43090</v>
      </c>
      <c r="G153" s="16">
        <v>65202.8</v>
      </c>
      <c r="H153" s="17">
        <v>0.3</v>
      </c>
      <c r="I153" s="16">
        <v>18453.622641509432</v>
      </c>
      <c r="J153" s="18" t="s">
        <v>692</v>
      </c>
      <c r="K153" s="12">
        <v>12</v>
      </c>
      <c r="L153" s="19" t="s">
        <v>732</v>
      </c>
      <c r="M153" s="12"/>
      <c r="N153" s="12" t="s">
        <v>29</v>
      </c>
      <c r="O153" s="8">
        <v>0</v>
      </c>
      <c r="P153" s="9">
        <v>0</v>
      </c>
      <c r="Q153" s="8">
        <v>0</v>
      </c>
      <c r="R153" s="8">
        <v>0</v>
      </c>
      <c r="S153" s="8">
        <v>0</v>
      </c>
      <c r="T153" s="9">
        <v>0</v>
      </c>
      <c r="U153" s="8">
        <v>0</v>
      </c>
      <c r="V153" s="8">
        <v>0</v>
      </c>
      <c r="W153" s="8">
        <v>0</v>
      </c>
      <c r="X153" s="9">
        <v>0</v>
      </c>
      <c r="Y153" s="8">
        <v>0</v>
      </c>
      <c r="Z153" s="8">
        <v>0</v>
      </c>
      <c r="AA153" s="8">
        <v>0</v>
      </c>
      <c r="AB153" s="176"/>
      <c r="AC153" s="176"/>
    </row>
    <row r="154" spans="1:29" ht="16.5" x14ac:dyDescent="0.35">
      <c r="A154" s="10" t="s">
        <v>7</v>
      </c>
      <c r="B154" s="11" t="s">
        <v>679</v>
      </c>
      <c r="C154" s="12"/>
      <c r="D154" s="13" t="s">
        <v>7</v>
      </c>
      <c r="E154" s="14" t="s">
        <v>734</v>
      </c>
      <c r="F154" s="15">
        <v>43090</v>
      </c>
      <c r="G154" s="16">
        <v>629976</v>
      </c>
      <c r="H154" s="17">
        <v>0.3</v>
      </c>
      <c r="I154" s="16">
        <v>178295.09433962262</v>
      </c>
      <c r="J154" s="18" t="s">
        <v>694</v>
      </c>
      <c r="K154" s="12">
        <v>12</v>
      </c>
      <c r="L154" s="19" t="s">
        <v>698</v>
      </c>
      <c r="M154" s="12"/>
      <c r="N154" s="12" t="s">
        <v>29</v>
      </c>
      <c r="O154" s="8">
        <v>0</v>
      </c>
      <c r="P154" s="9">
        <v>0</v>
      </c>
      <c r="Q154" s="8">
        <v>0</v>
      </c>
      <c r="R154" s="8">
        <v>0</v>
      </c>
      <c r="S154" s="8">
        <v>0</v>
      </c>
      <c r="T154" s="9">
        <v>0</v>
      </c>
      <c r="U154" s="8">
        <v>0</v>
      </c>
      <c r="V154" s="8">
        <v>0</v>
      </c>
      <c r="W154" s="8">
        <v>0</v>
      </c>
      <c r="X154" s="9">
        <v>0</v>
      </c>
      <c r="Y154" s="8">
        <v>0</v>
      </c>
      <c r="Z154" s="8">
        <v>0</v>
      </c>
      <c r="AA154" s="8" t="s">
        <v>35</v>
      </c>
      <c r="AB154" s="176"/>
      <c r="AC154" s="176"/>
    </row>
    <row r="155" spans="1:29" ht="16.5" x14ac:dyDescent="0.35">
      <c r="A155" s="10" t="s">
        <v>7</v>
      </c>
      <c r="B155" s="11" t="s">
        <v>679</v>
      </c>
      <c r="C155" s="12"/>
      <c r="D155" s="13" t="s">
        <v>7</v>
      </c>
      <c r="E155" s="14" t="s">
        <v>735</v>
      </c>
      <c r="F155" s="15">
        <v>43090</v>
      </c>
      <c r="G155" s="16">
        <v>27018.400000000001</v>
      </c>
      <c r="H155" s="17">
        <v>0.3</v>
      </c>
      <c r="I155" s="16">
        <v>7646.7169811320755</v>
      </c>
      <c r="J155" s="18" t="s">
        <v>692</v>
      </c>
      <c r="K155" s="12">
        <v>12</v>
      </c>
      <c r="L155" s="19" t="s">
        <v>736</v>
      </c>
      <c r="M155" s="12"/>
      <c r="N155" s="12" t="s">
        <v>29</v>
      </c>
      <c r="O155" s="8">
        <v>0</v>
      </c>
      <c r="P155" s="9">
        <v>0</v>
      </c>
      <c r="Q155" s="8">
        <v>0</v>
      </c>
      <c r="R155" s="8">
        <v>0</v>
      </c>
      <c r="S155" s="8">
        <v>0</v>
      </c>
      <c r="T155" s="9">
        <v>0</v>
      </c>
      <c r="U155" s="8">
        <v>0</v>
      </c>
      <c r="V155" s="8">
        <v>0</v>
      </c>
      <c r="W155" s="8">
        <v>0</v>
      </c>
      <c r="X155" s="9">
        <v>0</v>
      </c>
      <c r="Y155" s="8">
        <v>0</v>
      </c>
      <c r="Z155" s="8">
        <v>0</v>
      </c>
      <c r="AA155" s="8" t="s">
        <v>35</v>
      </c>
      <c r="AB155" s="176"/>
      <c r="AC155" s="176"/>
    </row>
    <row r="156" spans="1:29" ht="16.5" x14ac:dyDescent="0.35">
      <c r="A156" s="10" t="s">
        <v>7</v>
      </c>
      <c r="B156" s="11" t="s">
        <v>679</v>
      </c>
      <c r="C156" s="12"/>
      <c r="D156" s="13" t="s">
        <v>7</v>
      </c>
      <c r="E156" s="14" t="s">
        <v>737</v>
      </c>
      <c r="F156" s="15">
        <v>43090</v>
      </c>
      <c r="G156" s="16">
        <v>33212.800000000003</v>
      </c>
      <c r="H156" s="17">
        <v>0.29999999999999993</v>
      </c>
      <c r="I156" s="16">
        <v>9399.8490566037708</v>
      </c>
      <c r="J156" s="18" t="s">
        <v>682</v>
      </c>
      <c r="K156" s="12">
        <v>12</v>
      </c>
      <c r="L156" s="19" t="s">
        <v>738</v>
      </c>
      <c r="M156" s="12"/>
      <c r="N156" s="12" t="s">
        <v>29</v>
      </c>
      <c r="O156" s="8">
        <v>0</v>
      </c>
      <c r="P156" s="9">
        <v>0</v>
      </c>
      <c r="Q156" s="8">
        <v>0</v>
      </c>
      <c r="R156" s="8">
        <v>0</v>
      </c>
      <c r="S156" s="8">
        <v>0</v>
      </c>
      <c r="T156" s="9">
        <v>0</v>
      </c>
      <c r="U156" s="8">
        <v>0</v>
      </c>
      <c r="V156" s="8">
        <v>0</v>
      </c>
      <c r="W156" s="8">
        <v>0</v>
      </c>
      <c r="X156" s="9">
        <v>0</v>
      </c>
      <c r="Y156" s="8">
        <v>0</v>
      </c>
      <c r="Z156" s="8">
        <v>0</v>
      </c>
      <c r="AA156" s="8" t="s">
        <v>32</v>
      </c>
      <c r="AB156" s="176"/>
      <c r="AC156" s="176"/>
    </row>
    <row r="157" spans="1:29" ht="16.5" x14ac:dyDescent="0.35">
      <c r="A157" s="10" t="s">
        <v>7</v>
      </c>
      <c r="B157" s="11" t="s">
        <v>679</v>
      </c>
      <c r="C157" s="12"/>
      <c r="D157" s="13" t="s">
        <v>7</v>
      </c>
      <c r="E157" s="14" t="s">
        <v>739</v>
      </c>
      <c r="F157" s="15">
        <v>43090</v>
      </c>
      <c r="G157" s="16">
        <v>19198.400000000001</v>
      </c>
      <c r="H157" s="17">
        <v>0.3</v>
      </c>
      <c r="I157" s="16">
        <v>5433.5094339622647</v>
      </c>
      <c r="J157" s="18" t="s">
        <v>682</v>
      </c>
      <c r="K157" s="12">
        <v>12</v>
      </c>
      <c r="L157" s="19" t="s">
        <v>738</v>
      </c>
      <c r="M157" s="12"/>
      <c r="N157" s="12" t="s">
        <v>29</v>
      </c>
      <c r="O157" s="8">
        <v>0</v>
      </c>
      <c r="P157" s="9">
        <v>0</v>
      </c>
      <c r="Q157" s="8">
        <v>0</v>
      </c>
      <c r="R157" s="8">
        <v>0</v>
      </c>
      <c r="S157" s="8">
        <v>0</v>
      </c>
      <c r="T157" s="9">
        <v>0</v>
      </c>
      <c r="U157" s="8">
        <v>0</v>
      </c>
      <c r="V157" s="8">
        <v>0</v>
      </c>
      <c r="W157" s="8">
        <v>0</v>
      </c>
      <c r="X157" s="9">
        <v>0</v>
      </c>
      <c r="Y157" s="8">
        <v>0</v>
      </c>
      <c r="Z157" s="8">
        <v>0</v>
      </c>
      <c r="AA157" s="8" t="s">
        <v>32</v>
      </c>
      <c r="AB157" s="176"/>
      <c r="AC157" s="176"/>
    </row>
    <row r="158" spans="1:29" ht="16.5" x14ac:dyDescent="0.35">
      <c r="A158" s="10" t="s">
        <v>7</v>
      </c>
      <c r="B158" s="11" t="s">
        <v>679</v>
      </c>
      <c r="C158" s="12"/>
      <c r="D158" s="13" t="s">
        <v>7</v>
      </c>
      <c r="E158" s="14" t="s">
        <v>740</v>
      </c>
      <c r="F158" s="15">
        <v>43090</v>
      </c>
      <c r="G158" s="16">
        <v>24000</v>
      </c>
      <c r="H158" s="17">
        <v>0.3</v>
      </c>
      <c r="I158" s="16">
        <v>6792.4528301886785</v>
      </c>
      <c r="J158" s="18" t="s">
        <v>682</v>
      </c>
      <c r="K158" s="12">
        <v>12</v>
      </c>
      <c r="L158" s="19" t="s">
        <v>738</v>
      </c>
      <c r="M158" s="12"/>
      <c r="N158" s="12" t="s">
        <v>29</v>
      </c>
      <c r="O158" s="8">
        <v>0</v>
      </c>
      <c r="P158" s="9">
        <v>0</v>
      </c>
      <c r="Q158" s="8">
        <v>0</v>
      </c>
      <c r="R158" s="8">
        <v>0</v>
      </c>
      <c r="S158" s="8">
        <v>0</v>
      </c>
      <c r="T158" s="9">
        <v>0</v>
      </c>
      <c r="U158" s="8">
        <v>0</v>
      </c>
      <c r="V158" s="8">
        <v>0</v>
      </c>
      <c r="W158" s="8">
        <v>0</v>
      </c>
      <c r="X158" s="9">
        <v>0</v>
      </c>
      <c r="Y158" s="8">
        <v>0</v>
      </c>
      <c r="Z158" s="8">
        <v>0</v>
      </c>
      <c r="AA158" s="8" t="s">
        <v>32</v>
      </c>
      <c r="AB158" s="176"/>
      <c r="AC158" s="176"/>
    </row>
    <row r="159" spans="1:29" ht="16.5" x14ac:dyDescent="0.35">
      <c r="A159" s="10" t="s">
        <v>7</v>
      </c>
      <c r="B159" s="11" t="s">
        <v>679</v>
      </c>
      <c r="C159" s="12"/>
      <c r="D159" s="13" t="s">
        <v>7</v>
      </c>
      <c r="E159" s="14" t="s">
        <v>741</v>
      </c>
      <c r="F159" s="15">
        <v>43090</v>
      </c>
      <c r="G159" s="16">
        <v>92596.2</v>
      </c>
      <c r="H159" s="17">
        <v>0.3</v>
      </c>
      <c r="I159" s="16">
        <v>26206.471698113204</v>
      </c>
      <c r="J159" s="18" t="s">
        <v>682</v>
      </c>
      <c r="K159" s="12">
        <v>12</v>
      </c>
      <c r="L159" s="19" t="s">
        <v>738</v>
      </c>
      <c r="M159" s="12"/>
      <c r="N159" s="12" t="s">
        <v>29</v>
      </c>
      <c r="O159" s="8">
        <v>0</v>
      </c>
      <c r="P159" s="9">
        <v>0</v>
      </c>
      <c r="Q159" s="8">
        <v>0</v>
      </c>
      <c r="R159" s="8">
        <v>0</v>
      </c>
      <c r="S159" s="8">
        <v>0</v>
      </c>
      <c r="T159" s="9">
        <v>0</v>
      </c>
      <c r="U159" s="8">
        <v>0</v>
      </c>
      <c r="V159" s="8">
        <v>0</v>
      </c>
      <c r="W159" s="8">
        <v>0</v>
      </c>
      <c r="X159" s="9">
        <v>0</v>
      </c>
      <c r="Y159" s="8">
        <v>0</v>
      </c>
      <c r="Z159" s="8">
        <v>0</v>
      </c>
      <c r="AA159" s="8" t="s">
        <v>32</v>
      </c>
      <c r="AB159" s="176"/>
      <c r="AC159" s="176"/>
    </row>
    <row r="160" spans="1:29" ht="16.5" x14ac:dyDescent="0.35">
      <c r="A160" s="10" t="s">
        <v>7</v>
      </c>
      <c r="B160" s="11" t="s">
        <v>679</v>
      </c>
      <c r="C160" s="12"/>
      <c r="D160" s="13" t="s">
        <v>7</v>
      </c>
      <c r="E160" s="14" t="s">
        <v>742</v>
      </c>
      <c r="F160" s="15">
        <v>43091</v>
      </c>
      <c r="G160" s="16">
        <v>11424</v>
      </c>
      <c r="H160" s="17">
        <v>0.3</v>
      </c>
      <c r="I160" s="16">
        <v>3233.2075471698108</v>
      </c>
      <c r="J160" s="18" t="s">
        <v>692</v>
      </c>
      <c r="K160" s="12">
        <v>12</v>
      </c>
      <c r="L160" s="19" t="s">
        <v>704</v>
      </c>
      <c r="M160" s="12"/>
      <c r="N160" s="12" t="s">
        <v>29</v>
      </c>
      <c r="O160" s="8">
        <v>0</v>
      </c>
      <c r="P160" s="9">
        <v>0</v>
      </c>
      <c r="Q160" s="8">
        <v>0</v>
      </c>
      <c r="R160" s="8">
        <v>0</v>
      </c>
      <c r="S160" s="8">
        <v>0</v>
      </c>
      <c r="T160" s="9">
        <v>0</v>
      </c>
      <c r="U160" s="8">
        <v>0</v>
      </c>
      <c r="V160" s="8">
        <v>0</v>
      </c>
      <c r="W160" s="8">
        <v>0</v>
      </c>
      <c r="X160" s="9">
        <v>0</v>
      </c>
      <c r="Y160" s="8">
        <v>0</v>
      </c>
      <c r="Z160" s="8">
        <v>0</v>
      </c>
      <c r="AA160" s="8" t="s">
        <v>35</v>
      </c>
      <c r="AB160" s="176"/>
      <c r="AC160" s="176"/>
    </row>
    <row r="161" spans="1:29" ht="16.5" x14ac:dyDescent="0.35">
      <c r="A161" s="10" t="s">
        <v>7</v>
      </c>
      <c r="B161" s="11" t="s">
        <v>679</v>
      </c>
      <c r="C161" s="12"/>
      <c r="D161" s="13" t="s">
        <v>7</v>
      </c>
      <c r="E161" s="14" t="s">
        <v>743</v>
      </c>
      <c r="F161" s="15">
        <v>43091</v>
      </c>
      <c r="G161" s="16">
        <v>211444.2</v>
      </c>
      <c r="H161" s="17">
        <v>0.3</v>
      </c>
      <c r="I161" s="16">
        <v>59842.698113207545</v>
      </c>
      <c r="J161" s="18" t="s">
        <v>692</v>
      </c>
      <c r="K161" s="12">
        <v>12</v>
      </c>
      <c r="L161" s="19" t="s">
        <v>704</v>
      </c>
      <c r="M161" s="12"/>
      <c r="N161" s="12" t="s">
        <v>29</v>
      </c>
      <c r="O161" s="8">
        <v>0</v>
      </c>
      <c r="P161" s="9">
        <v>0</v>
      </c>
      <c r="Q161" s="8">
        <v>0</v>
      </c>
      <c r="R161" s="8">
        <v>0</v>
      </c>
      <c r="S161" s="8">
        <v>0</v>
      </c>
      <c r="T161" s="9">
        <v>0</v>
      </c>
      <c r="U161" s="8">
        <v>0</v>
      </c>
      <c r="V161" s="8">
        <v>0</v>
      </c>
      <c r="W161" s="8">
        <v>0</v>
      </c>
      <c r="X161" s="9">
        <v>0</v>
      </c>
      <c r="Y161" s="8">
        <v>0</v>
      </c>
      <c r="Z161" s="8">
        <v>0</v>
      </c>
      <c r="AA161" s="8" t="s">
        <v>35</v>
      </c>
      <c r="AB161" s="176"/>
      <c r="AC161" s="176"/>
    </row>
    <row r="162" spans="1:29" ht="16.5" x14ac:dyDescent="0.35">
      <c r="A162" s="10" t="s">
        <v>7</v>
      </c>
      <c r="B162" s="11" t="s">
        <v>679</v>
      </c>
      <c r="C162" s="12"/>
      <c r="D162" s="13" t="s">
        <v>7</v>
      </c>
      <c r="E162" s="14" t="s">
        <v>744</v>
      </c>
      <c r="F162" s="15">
        <v>43094</v>
      </c>
      <c r="G162" s="16">
        <v>7874</v>
      </c>
      <c r="H162" s="17">
        <v>0.30000000000000004</v>
      </c>
      <c r="I162" s="16">
        <v>2228.4905660377358</v>
      </c>
      <c r="J162" s="18" t="s">
        <v>692</v>
      </c>
      <c r="K162" s="12">
        <v>12</v>
      </c>
      <c r="L162" s="19" t="s">
        <v>745</v>
      </c>
      <c r="M162" s="12"/>
      <c r="N162" s="12" t="s">
        <v>29</v>
      </c>
      <c r="O162" s="8">
        <v>0</v>
      </c>
      <c r="P162" s="9">
        <v>0</v>
      </c>
      <c r="Q162" s="8">
        <v>0</v>
      </c>
      <c r="R162" s="8">
        <v>0</v>
      </c>
      <c r="S162" s="8">
        <v>0</v>
      </c>
      <c r="T162" s="9">
        <v>0</v>
      </c>
      <c r="U162" s="8">
        <v>0</v>
      </c>
      <c r="V162" s="8">
        <v>0</v>
      </c>
      <c r="W162" s="8">
        <v>0</v>
      </c>
      <c r="X162" s="9">
        <v>0</v>
      </c>
      <c r="Y162" s="8">
        <v>0</v>
      </c>
      <c r="Z162" s="8">
        <v>0</v>
      </c>
      <c r="AA162" s="8" t="s">
        <v>35</v>
      </c>
      <c r="AB162" s="176"/>
      <c r="AC162" s="176"/>
    </row>
    <row r="163" spans="1:29" ht="16.5" x14ac:dyDescent="0.35">
      <c r="A163" s="10" t="s">
        <v>7</v>
      </c>
      <c r="B163" s="11" t="s">
        <v>679</v>
      </c>
      <c r="C163" s="12"/>
      <c r="D163" s="13" t="s">
        <v>7</v>
      </c>
      <c r="E163" s="14" t="s">
        <v>746</v>
      </c>
      <c r="F163" s="15">
        <v>43094</v>
      </c>
      <c r="G163" s="16">
        <v>2066750.24</v>
      </c>
      <c r="H163" s="17">
        <v>0.57110000000000005</v>
      </c>
      <c r="I163" s="16">
        <v>1113510.435909434</v>
      </c>
      <c r="J163" s="18" t="s">
        <v>682</v>
      </c>
      <c r="K163" s="12">
        <v>12</v>
      </c>
      <c r="L163" s="19" t="s">
        <v>697</v>
      </c>
      <c r="M163" s="12"/>
      <c r="N163" s="12" t="s">
        <v>29</v>
      </c>
      <c r="O163" s="8">
        <v>0</v>
      </c>
      <c r="P163" s="9">
        <v>0</v>
      </c>
      <c r="Q163" s="8">
        <v>0</v>
      </c>
      <c r="R163" s="8">
        <v>0</v>
      </c>
      <c r="S163" s="8">
        <v>0</v>
      </c>
      <c r="T163" s="9">
        <v>0</v>
      </c>
      <c r="U163" s="8">
        <v>0</v>
      </c>
      <c r="V163" s="8">
        <v>0</v>
      </c>
      <c r="W163" s="8">
        <v>0</v>
      </c>
      <c r="X163" s="9">
        <v>0</v>
      </c>
      <c r="Y163" s="8">
        <v>0</v>
      </c>
      <c r="Z163" s="8">
        <v>0</v>
      </c>
      <c r="AA163" s="8" t="s">
        <v>32</v>
      </c>
      <c r="AB163" s="176"/>
      <c r="AC163" s="176"/>
    </row>
    <row r="164" spans="1:29" ht="16.5" x14ac:dyDescent="0.35">
      <c r="A164" s="10" t="s">
        <v>7</v>
      </c>
      <c r="B164" s="11" t="s">
        <v>679</v>
      </c>
      <c r="C164" s="12"/>
      <c r="D164" s="13" t="s">
        <v>7</v>
      </c>
      <c r="E164" s="14" t="s">
        <v>747</v>
      </c>
      <c r="F164" s="15">
        <v>43094</v>
      </c>
      <c r="G164" s="16">
        <v>66500000</v>
      </c>
      <c r="H164" s="17">
        <v>0.1</v>
      </c>
      <c r="I164" s="16">
        <v>6273584.9056603769</v>
      </c>
      <c r="J164" s="18" t="s">
        <v>685</v>
      </c>
      <c r="K164" s="12">
        <v>12</v>
      </c>
      <c r="L164" s="19" t="s">
        <v>748</v>
      </c>
      <c r="M164" s="12"/>
      <c r="N164" s="12" t="s">
        <v>29</v>
      </c>
      <c r="O164" s="8">
        <v>0</v>
      </c>
      <c r="P164" s="9">
        <v>0</v>
      </c>
      <c r="Q164" s="8">
        <v>0</v>
      </c>
      <c r="R164" s="8">
        <v>0</v>
      </c>
      <c r="S164" s="8">
        <v>0</v>
      </c>
      <c r="T164" s="9">
        <v>0</v>
      </c>
      <c r="U164" s="8">
        <v>0</v>
      </c>
      <c r="V164" s="8">
        <v>0</v>
      </c>
      <c r="W164" s="8">
        <v>0</v>
      </c>
      <c r="X164" s="9">
        <v>0</v>
      </c>
      <c r="Y164" s="8">
        <v>0</v>
      </c>
      <c r="Z164" s="8">
        <v>0</v>
      </c>
      <c r="AA164" s="8" t="s">
        <v>35</v>
      </c>
      <c r="AB164" s="176"/>
      <c r="AC164" s="176"/>
    </row>
    <row r="165" spans="1:29" ht="16.5" x14ac:dyDescent="0.35">
      <c r="A165" s="10" t="s">
        <v>7</v>
      </c>
      <c r="B165" s="11" t="s">
        <v>679</v>
      </c>
      <c r="C165" s="12"/>
      <c r="D165" s="13" t="s">
        <v>7</v>
      </c>
      <c r="E165" s="14" t="s">
        <v>749</v>
      </c>
      <c r="F165" s="15">
        <v>43094</v>
      </c>
      <c r="G165" s="16">
        <v>-68087.839999999997</v>
      </c>
      <c r="H165" s="17">
        <v>0.3</v>
      </c>
      <c r="I165" s="16">
        <v>-19270.143396226413</v>
      </c>
      <c r="J165" s="150" t="s">
        <v>702</v>
      </c>
      <c r="K165" s="12">
        <v>12</v>
      </c>
      <c r="L165" s="19" t="s">
        <v>750</v>
      </c>
      <c r="M165" s="12"/>
      <c r="N165" s="12" t="s">
        <v>29</v>
      </c>
      <c r="O165" s="8" t="e">
        <v>#N/A</v>
      </c>
      <c r="P165" s="9" t="e">
        <v>#N/A</v>
      </c>
      <c r="Q165" s="8" t="e">
        <v>#N/A</v>
      </c>
      <c r="R165" s="8" t="e">
        <v>#N/A</v>
      </c>
      <c r="S165" s="8" t="e">
        <v>#N/A</v>
      </c>
      <c r="T165" s="9" t="e">
        <v>#N/A</v>
      </c>
      <c r="U165" s="8" t="e">
        <v>#N/A</v>
      </c>
      <c r="V165" s="8" t="e">
        <v>#N/A</v>
      </c>
      <c r="W165" s="8" t="e">
        <v>#N/A</v>
      </c>
      <c r="X165" s="9" t="e">
        <v>#N/A</v>
      </c>
      <c r="Y165" s="8" t="e">
        <v>#N/A</v>
      </c>
      <c r="Z165" s="8" t="e">
        <v>#N/A</v>
      </c>
      <c r="AA165" s="8" t="e">
        <v>#N/A</v>
      </c>
      <c r="AB165" s="176"/>
      <c r="AC165" s="176"/>
    </row>
    <row r="166" spans="1:29" ht="16.5" x14ac:dyDescent="0.35">
      <c r="A166" s="10" t="s">
        <v>7</v>
      </c>
      <c r="B166" s="11" t="s">
        <v>679</v>
      </c>
      <c r="C166" s="12"/>
      <c r="D166" s="13" t="s">
        <v>7</v>
      </c>
      <c r="E166" s="14" t="s">
        <v>751</v>
      </c>
      <c r="F166" s="15">
        <v>43094</v>
      </c>
      <c r="G166" s="16">
        <v>-241920</v>
      </c>
      <c r="H166" s="17">
        <v>0.3</v>
      </c>
      <c r="I166" s="16">
        <v>-68467.924528301883</v>
      </c>
      <c r="J166" s="18" t="s">
        <v>689</v>
      </c>
      <c r="K166" s="12">
        <v>12</v>
      </c>
      <c r="L166" s="19" t="s">
        <v>752</v>
      </c>
      <c r="M166" s="12"/>
      <c r="N166" s="12" t="s">
        <v>29</v>
      </c>
      <c r="O166" s="8" t="e">
        <v>#N/A</v>
      </c>
      <c r="P166" s="9" t="e">
        <v>#N/A</v>
      </c>
      <c r="Q166" s="8" t="e">
        <v>#N/A</v>
      </c>
      <c r="R166" s="8" t="e">
        <v>#N/A</v>
      </c>
      <c r="S166" s="8" t="e">
        <v>#N/A</v>
      </c>
      <c r="T166" s="9" t="e">
        <v>#N/A</v>
      </c>
      <c r="U166" s="8" t="e">
        <v>#N/A</v>
      </c>
      <c r="V166" s="8" t="e">
        <v>#N/A</v>
      </c>
      <c r="W166" s="8" t="e">
        <v>#N/A</v>
      </c>
      <c r="X166" s="9" t="e">
        <v>#N/A</v>
      </c>
      <c r="Y166" s="8" t="e">
        <v>#N/A</v>
      </c>
      <c r="Z166" s="8" t="e">
        <v>#N/A</v>
      </c>
      <c r="AA166" s="8" t="e">
        <v>#N/A</v>
      </c>
      <c r="AB166" s="176"/>
      <c r="AC166" s="176"/>
    </row>
    <row r="167" spans="1:29" ht="16.5" x14ac:dyDescent="0.35">
      <c r="A167" s="10" t="s">
        <v>7</v>
      </c>
      <c r="B167" s="11" t="s">
        <v>679</v>
      </c>
      <c r="C167" s="12"/>
      <c r="D167" s="13" t="s">
        <v>7</v>
      </c>
      <c r="E167" s="14" t="s">
        <v>753</v>
      </c>
      <c r="F167" s="15">
        <v>43096</v>
      </c>
      <c r="G167" s="16">
        <v>70189.2</v>
      </c>
      <c r="H167" s="17">
        <v>0.29999999999999993</v>
      </c>
      <c r="I167" s="16">
        <v>19864.867924528295</v>
      </c>
      <c r="J167" s="18" t="s">
        <v>711</v>
      </c>
      <c r="K167" s="12">
        <v>12</v>
      </c>
      <c r="L167" s="19" t="s">
        <v>754</v>
      </c>
      <c r="M167" s="12"/>
      <c r="N167" s="12" t="s">
        <v>29</v>
      </c>
      <c r="O167" s="8">
        <v>0</v>
      </c>
      <c r="P167" s="9">
        <v>0</v>
      </c>
      <c r="Q167" s="8">
        <v>0</v>
      </c>
      <c r="R167" s="8">
        <v>0</v>
      </c>
      <c r="S167" s="8">
        <v>0</v>
      </c>
      <c r="T167" s="9">
        <v>0</v>
      </c>
      <c r="U167" s="8">
        <v>0</v>
      </c>
      <c r="V167" s="8">
        <v>0</v>
      </c>
      <c r="W167" s="8">
        <v>0</v>
      </c>
      <c r="X167" s="9">
        <v>0</v>
      </c>
      <c r="Y167" s="8">
        <v>0</v>
      </c>
      <c r="Z167" s="8">
        <v>0</v>
      </c>
      <c r="AA167" s="8" t="s">
        <v>32</v>
      </c>
      <c r="AB167" s="176"/>
      <c r="AC167" s="176"/>
    </row>
    <row r="168" spans="1:29" ht="16.5" x14ac:dyDescent="0.35">
      <c r="A168" s="10" t="s">
        <v>7</v>
      </c>
      <c r="B168" s="11" t="s">
        <v>679</v>
      </c>
      <c r="C168" s="12"/>
      <c r="D168" s="13" t="s">
        <v>7</v>
      </c>
      <c r="E168" s="14" t="s">
        <v>755</v>
      </c>
      <c r="F168" s="15">
        <v>43096</v>
      </c>
      <c r="G168" s="16">
        <v>325205</v>
      </c>
      <c r="H168" s="17">
        <v>0.3</v>
      </c>
      <c r="I168" s="16">
        <v>92039.15094339622</v>
      </c>
      <c r="J168" s="18" t="s">
        <v>694</v>
      </c>
      <c r="K168" s="12">
        <v>12</v>
      </c>
      <c r="L168" s="19" t="s">
        <v>756</v>
      </c>
      <c r="M168" s="12"/>
      <c r="N168" s="12" t="s">
        <v>29</v>
      </c>
      <c r="O168" s="8">
        <v>0</v>
      </c>
      <c r="P168" s="9">
        <v>0</v>
      </c>
      <c r="Q168" s="8">
        <v>0</v>
      </c>
      <c r="R168" s="8">
        <v>0</v>
      </c>
      <c r="S168" s="8">
        <v>0</v>
      </c>
      <c r="T168" s="9">
        <v>0</v>
      </c>
      <c r="U168" s="8">
        <v>0</v>
      </c>
      <c r="V168" s="8">
        <v>0</v>
      </c>
      <c r="W168" s="8">
        <v>0</v>
      </c>
      <c r="X168" s="9">
        <v>0</v>
      </c>
      <c r="Y168" s="8">
        <v>0</v>
      </c>
      <c r="Z168" s="8">
        <v>0</v>
      </c>
      <c r="AA168" s="8" t="s">
        <v>32</v>
      </c>
      <c r="AB168" s="176"/>
      <c r="AC168" s="176"/>
    </row>
    <row r="169" spans="1:29" ht="16.5" x14ac:dyDescent="0.35">
      <c r="A169" s="10" t="s">
        <v>7</v>
      </c>
      <c r="B169" s="11" t="s">
        <v>679</v>
      </c>
      <c r="C169" s="12"/>
      <c r="D169" s="13" t="s">
        <v>7</v>
      </c>
      <c r="E169" s="14" t="s">
        <v>757</v>
      </c>
      <c r="F169" s="15">
        <v>43096</v>
      </c>
      <c r="G169" s="16">
        <v>5712</v>
      </c>
      <c r="H169" s="17">
        <v>0.3</v>
      </c>
      <c r="I169" s="16">
        <v>1616.6037735849054</v>
      </c>
      <c r="J169" s="18" t="s">
        <v>691</v>
      </c>
      <c r="K169" s="12">
        <v>12</v>
      </c>
      <c r="L169" s="19" t="s">
        <v>758</v>
      </c>
      <c r="M169" s="156"/>
      <c r="N169" s="156" t="s">
        <v>29</v>
      </c>
      <c r="O169" s="8">
        <v>0</v>
      </c>
      <c r="P169" s="9">
        <v>0</v>
      </c>
      <c r="Q169" s="8">
        <v>0</v>
      </c>
      <c r="R169" s="8">
        <v>0</v>
      </c>
      <c r="S169" s="8">
        <v>0</v>
      </c>
      <c r="T169" s="9">
        <v>0</v>
      </c>
      <c r="U169" s="8">
        <v>0</v>
      </c>
      <c r="V169" s="8">
        <v>0</v>
      </c>
      <c r="W169" s="8">
        <v>0</v>
      </c>
      <c r="X169" s="9">
        <v>0</v>
      </c>
      <c r="Y169" s="8">
        <v>0</v>
      </c>
      <c r="Z169" s="8">
        <v>0</v>
      </c>
      <c r="AA169" s="173" t="s">
        <v>32</v>
      </c>
      <c r="AB169" s="176"/>
    </row>
    <row r="170" spans="1:29" ht="16.5" x14ac:dyDescent="0.35">
      <c r="A170" s="10" t="s">
        <v>7</v>
      </c>
      <c r="B170" s="11" t="s">
        <v>679</v>
      </c>
      <c r="C170" s="12"/>
      <c r="D170" s="13" t="s">
        <v>7</v>
      </c>
      <c r="E170" s="14" t="s">
        <v>759</v>
      </c>
      <c r="F170" s="15">
        <v>43096</v>
      </c>
      <c r="G170" s="16">
        <v>42300</v>
      </c>
      <c r="H170" s="17">
        <v>0.30000000000000004</v>
      </c>
      <c r="I170" s="16">
        <v>11971.698113207549</v>
      </c>
      <c r="J170" s="18" t="s">
        <v>760</v>
      </c>
      <c r="K170" s="12">
        <v>12</v>
      </c>
      <c r="L170" s="19" t="s">
        <v>761</v>
      </c>
      <c r="M170" s="12"/>
      <c r="N170" s="12" t="s">
        <v>29</v>
      </c>
      <c r="O170" s="8">
        <v>0</v>
      </c>
      <c r="P170" s="9">
        <v>0</v>
      </c>
      <c r="Q170" s="8">
        <v>0</v>
      </c>
      <c r="R170" s="8">
        <v>0</v>
      </c>
      <c r="S170" s="8">
        <v>0</v>
      </c>
      <c r="T170" s="9">
        <v>0</v>
      </c>
      <c r="U170" s="8">
        <v>0</v>
      </c>
      <c r="V170" s="8">
        <v>0</v>
      </c>
      <c r="W170" s="8">
        <v>0</v>
      </c>
      <c r="X170" s="9">
        <v>0</v>
      </c>
      <c r="Y170" s="8">
        <v>0</v>
      </c>
      <c r="Z170" s="8">
        <v>0</v>
      </c>
      <c r="AA170" s="8" t="s">
        <v>35</v>
      </c>
    </row>
    <row r="171" spans="1:29" ht="16.5" x14ac:dyDescent="0.35">
      <c r="A171" s="10" t="s">
        <v>7</v>
      </c>
      <c r="B171" s="11" t="s">
        <v>679</v>
      </c>
      <c r="C171" s="12"/>
      <c r="D171" s="13" t="s">
        <v>7</v>
      </c>
      <c r="E171" s="14" t="s">
        <v>762</v>
      </c>
      <c r="F171" s="15">
        <v>43097</v>
      </c>
      <c r="G171" s="16">
        <v>69597.899999999994</v>
      </c>
      <c r="H171" s="17">
        <v>0.3</v>
      </c>
      <c r="I171" s="16">
        <v>19697.518867924526</v>
      </c>
      <c r="J171" s="150" t="s">
        <v>711</v>
      </c>
      <c r="K171" s="12">
        <v>12</v>
      </c>
      <c r="L171" s="19" t="s">
        <v>763</v>
      </c>
      <c r="M171" s="12"/>
      <c r="N171" s="12" t="s">
        <v>29</v>
      </c>
      <c r="O171" s="8">
        <v>0</v>
      </c>
      <c r="P171" s="9">
        <v>0</v>
      </c>
      <c r="Q171" s="8">
        <v>0</v>
      </c>
      <c r="R171" s="8">
        <v>0</v>
      </c>
      <c r="S171" s="8">
        <v>0</v>
      </c>
      <c r="T171" s="9">
        <v>0</v>
      </c>
      <c r="U171" s="8">
        <v>0</v>
      </c>
      <c r="V171" s="8">
        <v>0</v>
      </c>
      <c r="W171" s="8">
        <v>0</v>
      </c>
      <c r="X171" s="9">
        <v>0</v>
      </c>
      <c r="Y171" s="8">
        <v>0</v>
      </c>
      <c r="Z171" s="8">
        <v>0</v>
      </c>
      <c r="AA171" s="8" t="s">
        <v>32</v>
      </c>
    </row>
    <row r="172" spans="1:29" ht="16.5" x14ac:dyDescent="0.35">
      <c r="A172" s="10" t="s">
        <v>7</v>
      </c>
      <c r="B172" s="11" t="s">
        <v>679</v>
      </c>
      <c r="C172" s="12"/>
      <c r="D172" s="13" t="s">
        <v>7</v>
      </c>
      <c r="E172" s="14" t="s">
        <v>764</v>
      </c>
      <c r="F172" s="15">
        <v>43098</v>
      </c>
      <c r="G172" s="16">
        <v>14280</v>
      </c>
      <c r="H172" s="17">
        <v>0.3</v>
      </c>
      <c r="I172" s="16">
        <v>4041.5094339622638</v>
      </c>
      <c r="J172" s="150" t="s">
        <v>720</v>
      </c>
      <c r="K172" s="12">
        <v>12</v>
      </c>
      <c r="L172" s="19" t="s">
        <v>765</v>
      </c>
      <c r="M172" s="12"/>
      <c r="N172" s="12" t="s">
        <v>29</v>
      </c>
      <c r="O172" s="8">
        <v>0</v>
      </c>
      <c r="P172" s="9">
        <v>0</v>
      </c>
      <c r="Q172" s="8">
        <v>0</v>
      </c>
      <c r="R172" s="8">
        <v>0</v>
      </c>
      <c r="S172" s="8">
        <v>0</v>
      </c>
      <c r="T172" s="9">
        <v>0</v>
      </c>
      <c r="U172" s="8">
        <v>0</v>
      </c>
      <c r="V172" s="8">
        <v>0</v>
      </c>
      <c r="W172" s="8">
        <v>0</v>
      </c>
      <c r="X172" s="9">
        <v>0</v>
      </c>
      <c r="Y172" s="8">
        <v>0</v>
      </c>
      <c r="Z172" s="8">
        <v>0</v>
      </c>
      <c r="AA172" s="8" t="s">
        <v>35</v>
      </c>
    </row>
    <row r="173" spans="1:29" ht="16.5" x14ac:dyDescent="0.35">
      <c r="A173" s="10" t="s">
        <v>7</v>
      </c>
      <c r="B173" s="11" t="s">
        <v>679</v>
      </c>
      <c r="C173" s="12"/>
      <c r="D173" s="13" t="s">
        <v>7</v>
      </c>
      <c r="E173" s="14" t="s">
        <v>766</v>
      </c>
      <c r="F173" s="15">
        <v>43098</v>
      </c>
      <c r="G173" s="16">
        <v>48176.800000000003</v>
      </c>
      <c r="H173" s="17">
        <v>0.30000000000000004</v>
      </c>
      <c r="I173" s="16">
        <v>13634.943396226417</v>
      </c>
      <c r="J173" s="150" t="s">
        <v>720</v>
      </c>
      <c r="K173" s="12">
        <v>12</v>
      </c>
      <c r="L173" s="19" t="s">
        <v>767</v>
      </c>
      <c r="M173" s="12"/>
      <c r="N173" s="12" t="s">
        <v>29</v>
      </c>
      <c r="O173" s="8">
        <v>0</v>
      </c>
      <c r="P173" s="9">
        <v>0</v>
      </c>
      <c r="Q173" s="167">
        <v>0</v>
      </c>
      <c r="R173" s="167">
        <v>0</v>
      </c>
      <c r="S173" s="167">
        <v>0</v>
      </c>
      <c r="T173" s="172">
        <v>0</v>
      </c>
      <c r="U173" s="167">
        <v>0</v>
      </c>
      <c r="V173" s="167">
        <v>0</v>
      </c>
      <c r="W173" s="167">
        <v>0</v>
      </c>
      <c r="X173" s="172">
        <v>0</v>
      </c>
      <c r="Y173" s="167">
        <v>0</v>
      </c>
      <c r="Z173" s="167">
        <v>0</v>
      </c>
      <c r="AA173" s="167" t="s">
        <v>35</v>
      </c>
    </row>
    <row r="174" spans="1:29" ht="16.5" x14ac:dyDescent="0.35">
      <c r="A174" s="10" t="s">
        <v>7</v>
      </c>
      <c r="B174" s="11" t="s">
        <v>679</v>
      </c>
      <c r="C174" s="12"/>
      <c r="D174" s="13" t="s">
        <v>7</v>
      </c>
      <c r="E174" s="14" t="s">
        <v>768</v>
      </c>
      <c r="F174" s="15">
        <v>43098</v>
      </c>
      <c r="G174" s="16">
        <v>59631.4</v>
      </c>
      <c r="H174" s="17">
        <v>0.29999999999999993</v>
      </c>
      <c r="I174" s="16">
        <v>16876.811320754714</v>
      </c>
      <c r="J174" s="18" t="s">
        <v>692</v>
      </c>
      <c r="K174" s="12">
        <v>12</v>
      </c>
      <c r="L174" s="19" t="s">
        <v>769</v>
      </c>
      <c r="M174" s="12"/>
      <c r="N174" s="12" t="s">
        <v>29</v>
      </c>
      <c r="O174" s="8">
        <v>0</v>
      </c>
      <c r="P174" s="9">
        <v>0</v>
      </c>
      <c r="Q174" s="8">
        <v>0</v>
      </c>
      <c r="R174" s="8">
        <v>0</v>
      </c>
      <c r="S174" s="8">
        <v>0</v>
      </c>
      <c r="T174" s="9">
        <v>0</v>
      </c>
      <c r="U174" s="8">
        <v>0</v>
      </c>
      <c r="V174" s="8">
        <v>0</v>
      </c>
      <c r="W174" s="8">
        <v>0</v>
      </c>
      <c r="X174" s="9">
        <v>0</v>
      </c>
      <c r="Y174" s="8">
        <v>0</v>
      </c>
      <c r="Z174" s="8">
        <v>0</v>
      </c>
      <c r="AA174" s="8" t="s">
        <v>620</v>
      </c>
      <c r="AB174" s="176"/>
      <c r="AC174" s="176"/>
    </row>
    <row r="175" spans="1:29" ht="16.5" x14ac:dyDescent="0.35">
      <c r="A175" s="10" t="s">
        <v>7</v>
      </c>
      <c r="B175" s="11" t="s">
        <v>679</v>
      </c>
      <c r="C175" s="12"/>
      <c r="D175" s="13" t="s">
        <v>7</v>
      </c>
      <c r="E175" s="14" t="s">
        <v>770</v>
      </c>
      <c r="F175" s="15">
        <v>43098</v>
      </c>
      <c r="G175" s="16">
        <v>85000</v>
      </c>
      <c r="H175" s="17">
        <v>0.30000000000000004</v>
      </c>
      <c r="I175" s="16">
        <v>24056.60377358491</v>
      </c>
      <c r="J175" s="18" t="s">
        <v>684</v>
      </c>
      <c r="K175" s="12">
        <v>12</v>
      </c>
      <c r="L175" s="19" t="s">
        <v>771</v>
      </c>
      <c r="M175" s="12"/>
      <c r="N175" s="12" t="s">
        <v>29</v>
      </c>
      <c r="O175" s="8">
        <v>0</v>
      </c>
      <c r="P175" s="9">
        <v>0</v>
      </c>
      <c r="Q175" s="8">
        <v>0</v>
      </c>
      <c r="R175" s="8">
        <v>0</v>
      </c>
      <c r="S175" s="8">
        <v>0</v>
      </c>
      <c r="T175" s="9">
        <v>0</v>
      </c>
      <c r="U175" s="8">
        <v>0</v>
      </c>
      <c r="V175" s="8">
        <v>0</v>
      </c>
      <c r="W175" s="8">
        <v>0</v>
      </c>
      <c r="X175" s="9">
        <v>0</v>
      </c>
      <c r="Y175" s="8">
        <v>0</v>
      </c>
      <c r="Z175" s="8">
        <v>0</v>
      </c>
      <c r="AA175" s="8" t="s">
        <v>32</v>
      </c>
      <c r="AB175" s="176"/>
      <c r="AC175" s="176"/>
    </row>
    <row r="176" spans="1:29" ht="16.5" x14ac:dyDescent="0.35">
      <c r="A176" s="10" t="s">
        <v>7</v>
      </c>
      <c r="B176" s="11" t="s">
        <v>679</v>
      </c>
      <c r="C176" s="12"/>
      <c r="D176" s="13" t="s">
        <v>7</v>
      </c>
      <c r="E176" s="14" t="s">
        <v>772</v>
      </c>
      <c r="F176" s="15">
        <v>43098</v>
      </c>
      <c r="G176" s="16">
        <v>95245.8</v>
      </c>
      <c r="H176" s="17">
        <v>0.3</v>
      </c>
      <c r="I176" s="16">
        <v>26956.358490566039</v>
      </c>
      <c r="J176" s="18" t="s">
        <v>684</v>
      </c>
      <c r="K176" s="12">
        <v>12</v>
      </c>
      <c r="L176" s="19" t="s">
        <v>773</v>
      </c>
      <c r="M176" s="12"/>
      <c r="N176" s="12" t="s">
        <v>29</v>
      </c>
      <c r="O176" s="8">
        <v>0</v>
      </c>
      <c r="P176" s="9">
        <v>0</v>
      </c>
      <c r="Q176" s="8">
        <v>0</v>
      </c>
      <c r="R176" s="8">
        <v>0</v>
      </c>
      <c r="S176" s="8">
        <v>0</v>
      </c>
      <c r="T176" s="9">
        <v>0</v>
      </c>
      <c r="U176" s="8">
        <v>0</v>
      </c>
      <c r="V176" s="8">
        <v>0</v>
      </c>
      <c r="W176" s="8">
        <v>0</v>
      </c>
      <c r="X176" s="9">
        <v>0</v>
      </c>
      <c r="Y176" s="8">
        <v>0</v>
      </c>
      <c r="Z176" s="8">
        <v>0</v>
      </c>
      <c r="AA176" s="8" t="s">
        <v>35</v>
      </c>
      <c r="AB176" s="176"/>
      <c r="AC176" s="176"/>
    </row>
    <row r="177" spans="1:29" ht="16.5" x14ac:dyDescent="0.35">
      <c r="A177" s="10" t="s">
        <v>7</v>
      </c>
      <c r="B177" s="11" t="s">
        <v>679</v>
      </c>
      <c r="C177" s="12"/>
      <c r="D177" s="13" t="s">
        <v>7</v>
      </c>
      <c r="E177" s="14" t="s">
        <v>774</v>
      </c>
      <c r="F177" s="15">
        <v>43098</v>
      </c>
      <c r="G177" s="16">
        <v>6338400.9500000002</v>
      </c>
      <c r="H177" s="17">
        <v>0.38410000000000005</v>
      </c>
      <c r="I177" s="16">
        <v>2296773.4008443402</v>
      </c>
      <c r="J177" s="18" t="s">
        <v>684</v>
      </c>
      <c r="K177" s="12">
        <v>12</v>
      </c>
      <c r="L177" s="19" t="s">
        <v>775</v>
      </c>
      <c r="M177" s="12"/>
      <c r="N177" s="12" t="s">
        <v>29</v>
      </c>
      <c r="O177" s="8">
        <v>0</v>
      </c>
      <c r="P177" s="9">
        <v>0</v>
      </c>
      <c r="Q177" s="8">
        <v>0</v>
      </c>
      <c r="R177" s="8">
        <v>0</v>
      </c>
      <c r="S177" s="8">
        <v>0</v>
      </c>
      <c r="T177" s="9">
        <v>0</v>
      </c>
      <c r="U177" s="8">
        <v>0</v>
      </c>
      <c r="V177" s="8">
        <v>0</v>
      </c>
      <c r="W177" s="8">
        <v>0</v>
      </c>
      <c r="X177" s="9">
        <v>0</v>
      </c>
      <c r="Y177" s="8">
        <v>0</v>
      </c>
      <c r="Z177" s="8">
        <v>0</v>
      </c>
      <c r="AA177" s="8" t="s">
        <v>35</v>
      </c>
      <c r="AB177" s="176"/>
      <c r="AC177" s="176"/>
    </row>
    <row r="178" spans="1:29" ht="16.5" x14ac:dyDescent="0.35">
      <c r="A178" s="10" t="s">
        <v>7</v>
      </c>
      <c r="B178" s="11" t="s">
        <v>679</v>
      </c>
      <c r="C178" s="12"/>
      <c r="D178" s="13" t="s">
        <v>7</v>
      </c>
      <c r="E178" s="14" t="s">
        <v>776</v>
      </c>
      <c r="F178" s="15">
        <v>43098</v>
      </c>
      <c r="G178" s="16">
        <v>6498770.25</v>
      </c>
      <c r="H178" s="17">
        <v>0.4582</v>
      </c>
      <c r="I178" s="16">
        <v>2809185.4042924526</v>
      </c>
      <c r="J178" s="18" t="s">
        <v>684</v>
      </c>
      <c r="K178" s="12">
        <v>12</v>
      </c>
      <c r="L178" s="19" t="s">
        <v>775</v>
      </c>
      <c r="M178" s="12"/>
      <c r="N178" s="12" t="s">
        <v>29</v>
      </c>
      <c r="O178" s="8">
        <v>0</v>
      </c>
      <c r="P178" s="9">
        <v>0</v>
      </c>
      <c r="Q178" s="8">
        <v>0</v>
      </c>
      <c r="R178" s="8">
        <v>0</v>
      </c>
      <c r="S178" s="8">
        <v>0</v>
      </c>
      <c r="T178" s="9">
        <v>0</v>
      </c>
      <c r="U178" s="8">
        <v>0</v>
      </c>
      <c r="V178" s="8">
        <v>0</v>
      </c>
      <c r="W178" s="8">
        <v>0</v>
      </c>
      <c r="X178" s="9">
        <v>0</v>
      </c>
      <c r="Y178" s="8">
        <v>0</v>
      </c>
      <c r="Z178" s="8">
        <v>0</v>
      </c>
      <c r="AA178" s="8" t="s">
        <v>35</v>
      </c>
      <c r="AB178" s="176"/>
      <c r="AC178" s="176"/>
    </row>
    <row r="179" spans="1:29" ht="16.5" x14ac:dyDescent="0.35">
      <c r="A179" s="10" t="s">
        <v>7</v>
      </c>
      <c r="B179" s="11" t="s">
        <v>679</v>
      </c>
      <c r="C179" s="12"/>
      <c r="D179" s="13" t="s">
        <v>7</v>
      </c>
      <c r="E179" s="14" t="s">
        <v>777</v>
      </c>
      <c r="F179" s="15">
        <v>43098</v>
      </c>
      <c r="G179" s="16">
        <v>42300</v>
      </c>
      <c r="H179" s="17">
        <v>0.30000000000000004</v>
      </c>
      <c r="I179" s="16">
        <v>11971.698113207549</v>
      </c>
      <c r="J179" s="18" t="s">
        <v>684</v>
      </c>
      <c r="K179" s="12">
        <v>12</v>
      </c>
      <c r="L179" s="19" t="s">
        <v>695</v>
      </c>
      <c r="M179" s="12"/>
      <c r="N179" s="12" t="s">
        <v>29</v>
      </c>
      <c r="O179" s="8">
        <v>0</v>
      </c>
      <c r="P179" s="9">
        <v>0</v>
      </c>
      <c r="Q179" s="8">
        <v>0</v>
      </c>
      <c r="R179" s="8">
        <v>0</v>
      </c>
      <c r="S179" s="8">
        <v>0</v>
      </c>
      <c r="T179" s="9">
        <v>0</v>
      </c>
      <c r="U179" s="8">
        <v>0</v>
      </c>
      <c r="V179" s="8">
        <v>0</v>
      </c>
      <c r="W179" s="8">
        <v>0</v>
      </c>
      <c r="X179" s="9">
        <v>0</v>
      </c>
      <c r="Y179" s="8">
        <v>0</v>
      </c>
      <c r="Z179" s="8">
        <v>0</v>
      </c>
      <c r="AA179" s="8" t="s">
        <v>35</v>
      </c>
      <c r="AB179" s="176"/>
      <c r="AC179" s="176"/>
    </row>
    <row r="180" spans="1:29" ht="16.5" x14ac:dyDescent="0.35">
      <c r="A180" s="10" t="s">
        <v>7</v>
      </c>
      <c r="B180" s="11" t="s">
        <v>679</v>
      </c>
      <c r="C180" s="12"/>
      <c r="D180" s="13" t="s">
        <v>7</v>
      </c>
      <c r="E180" s="14" t="s">
        <v>778</v>
      </c>
      <c r="F180" s="15">
        <v>43098</v>
      </c>
      <c r="G180" s="16">
        <v>31198.400000000001</v>
      </c>
      <c r="H180" s="17">
        <v>0.3</v>
      </c>
      <c r="I180" s="16">
        <v>8829.7358490566039</v>
      </c>
      <c r="J180" s="18" t="s">
        <v>684</v>
      </c>
      <c r="K180" s="12">
        <v>12</v>
      </c>
      <c r="L180" s="19" t="s">
        <v>695</v>
      </c>
      <c r="M180" s="12"/>
      <c r="N180" s="12" t="s">
        <v>29</v>
      </c>
      <c r="O180" s="8">
        <v>0</v>
      </c>
      <c r="P180" s="9">
        <v>0</v>
      </c>
      <c r="Q180" s="8">
        <v>0</v>
      </c>
      <c r="R180" s="8">
        <v>0</v>
      </c>
      <c r="S180" s="8">
        <v>0</v>
      </c>
      <c r="T180" s="9">
        <v>0</v>
      </c>
      <c r="U180" s="8">
        <v>0</v>
      </c>
      <c r="V180" s="8">
        <v>0</v>
      </c>
      <c r="W180" s="8">
        <v>0</v>
      </c>
      <c r="X180" s="9">
        <v>0</v>
      </c>
      <c r="Y180" s="8">
        <v>0</v>
      </c>
      <c r="Z180" s="8">
        <v>0</v>
      </c>
      <c r="AA180" s="8" t="s">
        <v>35</v>
      </c>
      <c r="AB180" s="176"/>
      <c r="AC180" s="176"/>
    </row>
    <row r="181" spans="1:29" ht="16.5" x14ac:dyDescent="0.35">
      <c r="A181" s="10" t="s">
        <v>7</v>
      </c>
      <c r="B181" s="11" t="s">
        <v>679</v>
      </c>
      <c r="C181" s="12"/>
      <c r="D181" s="13" t="s">
        <v>7</v>
      </c>
      <c r="E181" s="14" t="s">
        <v>727</v>
      </c>
      <c r="F181" s="15">
        <v>43098</v>
      </c>
      <c r="G181" s="16">
        <v>300100</v>
      </c>
      <c r="H181" s="17">
        <v>0.29999999999999993</v>
      </c>
      <c r="I181" s="16">
        <v>84933.96226415092</v>
      </c>
      <c r="J181" s="150" t="s">
        <v>702</v>
      </c>
      <c r="K181" s="12">
        <v>12</v>
      </c>
      <c r="L181" s="19" t="s">
        <v>728</v>
      </c>
      <c r="M181" s="12"/>
      <c r="N181" s="12" t="s">
        <v>29</v>
      </c>
      <c r="O181" s="8">
        <v>0</v>
      </c>
      <c r="P181" s="9">
        <v>0</v>
      </c>
      <c r="Q181" s="8">
        <v>0</v>
      </c>
      <c r="R181" s="8">
        <v>0</v>
      </c>
      <c r="S181" s="8">
        <v>0</v>
      </c>
      <c r="T181" s="9">
        <v>0</v>
      </c>
      <c r="U181" s="8">
        <v>0</v>
      </c>
      <c r="V181" s="8">
        <v>0</v>
      </c>
      <c r="W181" s="8">
        <v>0</v>
      </c>
      <c r="X181" s="9">
        <v>0</v>
      </c>
      <c r="Y181" s="8">
        <v>0</v>
      </c>
      <c r="Z181" s="8">
        <v>0</v>
      </c>
      <c r="AA181" s="8" t="s">
        <v>32</v>
      </c>
      <c r="AB181" s="176"/>
      <c r="AC181" s="176"/>
    </row>
    <row r="182" spans="1:29" ht="33" x14ac:dyDescent="0.35">
      <c r="A182" s="10" t="s">
        <v>36</v>
      </c>
      <c r="B182" s="20" t="s">
        <v>779</v>
      </c>
      <c r="C182" s="20"/>
      <c r="D182" s="10" t="s">
        <v>36</v>
      </c>
      <c r="E182" s="14" t="s">
        <v>780</v>
      </c>
      <c r="F182" s="21">
        <v>43021</v>
      </c>
      <c r="G182" s="22">
        <v>269000</v>
      </c>
      <c r="H182" s="20">
        <v>0.98140000000000016</v>
      </c>
      <c r="I182" s="23">
        <v>249053.39622641512</v>
      </c>
      <c r="J182" s="24" t="s">
        <v>680</v>
      </c>
      <c r="K182" s="12">
        <v>10</v>
      </c>
      <c r="L182" s="25" t="s">
        <v>781</v>
      </c>
      <c r="M182" s="20">
        <v>0.06</v>
      </c>
      <c r="N182" s="26" t="s">
        <v>40</v>
      </c>
      <c r="O182" s="8"/>
      <c r="P182" s="9"/>
      <c r="Q182" s="8"/>
      <c r="R182" s="8"/>
      <c r="S182" s="8"/>
      <c r="T182" s="9"/>
      <c r="U182" s="8"/>
      <c r="V182" s="8"/>
      <c r="W182" s="8"/>
      <c r="X182" s="9"/>
      <c r="Y182" s="8"/>
      <c r="Z182" s="8"/>
      <c r="AA182" s="8"/>
      <c r="AB182" s="176"/>
      <c r="AC182" s="176"/>
    </row>
    <row r="183" spans="1:29" ht="49.5" x14ac:dyDescent="0.35">
      <c r="A183" s="10" t="s">
        <v>7</v>
      </c>
      <c r="B183" s="20" t="s">
        <v>779</v>
      </c>
      <c r="C183" s="20"/>
      <c r="D183" s="10" t="s">
        <v>7</v>
      </c>
      <c r="E183" s="14" t="s">
        <v>782</v>
      </c>
      <c r="F183" s="21">
        <v>43031</v>
      </c>
      <c r="G183" s="22">
        <v>91657</v>
      </c>
      <c r="H183" s="20">
        <v>0.3</v>
      </c>
      <c r="I183" s="23">
        <v>25940.660377358487</v>
      </c>
      <c r="J183" s="24" t="s">
        <v>692</v>
      </c>
      <c r="K183" s="12">
        <v>10</v>
      </c>
      <c r="L183" s="25" t="s">
        <v>769</v>
      </c>
      <c r="M183" s="20">
        <v>0.06</v>
      </c>
      <c r="N183" s="26" t="s">
        <v>29</v>
      </c>
      <c r="O183" s="8"/>
      <c r="P183" s="9"/>
      <c r="Q183" s="8"/>
      <c r="R183" s="8"/>
      <c r="S183" s="8"/>
      <c r="T183" s="9"/>
      <c r="U183" s="8"/>
      <c r="V183" s="8"/>
      <c r="W183" s="8"/>
      <c r="X183" s="9"/>
      <c r="Y183" s="8"/>
      <c r="Z183" s="8"/>
      <c r="AA183" s="8"/>
      <c r="AB183" s="176"/>
      <c r="AC183" s="176"/>
    </row>
    <row r="184" spans="1:29" ht="66" x14ac:dyDescent="0.35">
      <c r="A184" s="10" t="s">
        <v>7</v>
      </c>
      <c r="B184" s="20" t="s">
        <v>779</v>
      </c>
      <c r="C184" s="20"/>
      <c r="D184" s="10" t="s">
        <v>7</v>
      </c>
      <c r="E184" s="14" t="s">
        <v>783</v>
      </c>
      <c r="F184" s="21">
        <v>43031</v>
      </c>
      <c r="G184" s="22">
        <v>49470</v>
      </c>
      <c r="H184" s="20">
        <v>0.3</v>
      </c>
      <c r="I184" s="23">
        <v>14000.943396226414</v>
      </c>
      <c r="J184" s="24" t="s">
        <v>720</v>
      </c>
      <c r="K184" s="12">
        <v>10</v>
      </c>
      <c r="L184" s="25" t="s">
        <v>784</v>
      </c>
      <c r="M184" s="20">
        <v>0.06</v>
      </c>
      <c r="N184" s="26" t="s">
        <v>29</v>
      </c>
      <c r="O184" s="8"/>
      <c r="P184" s="9"/>
      <c r="Q184" s="8"/>
      <c r="R184" s="8"/>
      <c r="S184" s="8"/>
      <c r="T184" s="9"/>
      <c r="U184" s="8"/>
      <c r="V184" s="8"/>
      <c r="W184" s="8"/>
      <c r="X184" s="9"/>
      <c r="Y184" s="8"/>
      <c r="Z184" s="8"/>
      <c r="AA184" s="8"/>
    </row>
    <row r="185" spans="1:29" ht="49.5" x14ac:dyDescent="0.35">
      <c r="A185" s="10" t="s">
        <v>7</v>
      </c>
      <c r="B185" s="20" t="s">
        <v>779</v>
      </c>
      <c r="C185" s="20"/>
      <c r="D185" s="10" t="s">
        <v>7</v>
      </c>
      <c r="E185" s="14" t="s">
        <v>785</v>
      </c>
      <c r="F185" s="21">
        <v>43031</v>
      </c>
      <c r="G185" s="22">
        <v>103371</v>
      </c>
      <c r="H185" s="20">
        <v>0.43089999999999995</v>
      </c>
      <c r="I185" s="23">
        <v>42021.286698113203</v>
      </c>
      <c r="J185" s="24" t="s">
        <v>694</v>
      </c>
      <c r="K185" s="12">
        <v>10</v>
      </c>
      <c r="L185" s="25" t="s">
        <v>786</v>
      </c>
      <c r="M185" s="20">
        <v>0.06</v>
      </c>
      <c r="N185" s="26" t="s">
        <v>29</v>
      </c>
      <c r="O185" s="8"/>
      <c r="P185" s="9"/>
      <c r="Q185" s="8"/>
      <c r="R185" s="8"/>
      <c r="S185" s="8"/>
      <c r="T185" s="9"/>
      <c r="U185" s="8"/>
      <c r="V185" s="8"/>
      <c r="W185" s="8"/>
      <c r="X185" s="9"/>
      <c r="Y185" s="8"/>
      <c r="Z185" s="8"/>
      <c r="AA185" s="8"/>
    </row>
    <row r="186" spans="1:29" ht="49.5" x14ac:dyDescent="0.35">
      <c r="A186" s="10" t="s">
        <v>7</v>
      </c>
      <c r="B186" s="20" t="s">
        <v>779</v>
      </c>
      <c r="C186" s="20"/>
      <c r="D186" s="10" t="s">
        <v>7</v>
      </c>
      <c r="E186" s="14" t="s">
        <v>785</v>
      </c>
      <c r="F186" s="21">
        <v>43031</v>
      </c>
      <c r="G186" s="22">
        <v>1958819</v>
      </c>
      <c r="H186" s="20">
        <v>0.29999999999999993</v>
      </c>
      <c r="I186" s="23">
        <v>554382.73584905639</v>
      </c>
      <c r="J186" s="24" t="s">
        <v>694</v>
      </c>
      <c r="K186" s="12">
        <v>10</v>
      </c>
      <c r="L186" s="25" t="s">
        <v>786</v>
      </c>
      <c r="M186" s="20">
        <v>0.06</v>
      </c>
      <c r="N186" s="26" t="s">
        <v>29</v>
      </c>
      <c r="O186" s="8"/>
      <c r="P186" s="9"/>
      <c r="Q186" s="8"/>
      <c r="R186" s="8"/>
      <c r="S186" s="8"/>
      <c r="T186" s="9"/>
      <c r="U186" s="8"/>
      <c r="V186" s="8"/>
      <c r="W186" s="8"/>
      <c r="X186" s="9"/>
      <c r="Y186" s="8"/>
      <c r="Z186" s="8"/>
      <c r="AA186" s="8"/>
    </row>
    <row r="187" spans="1:29" ht="49.5" x14ac:dyDescent="0.35">
      <c r="A187" s="10" t="s">
        <v>7</v>
      </c>
      <c r="B187" s="20" t="s">
        <v>779</v>
      </c>
      <c r="C187" s="20"/>
      <c r="D187" s="10" t="s">
        <v>7</v>
      </c>
      <c r="E187" s="14" t="s">
        <v>785</v>
      </c>
      <c r="F187" s="21">
        <v>43031</v>
      </c>
      <c r="G187" s="22">
        <v>21825</v>
      </c>
      <c r="H187" s="20">
        <v>0.3</v>
      </c>
      <c r="I187" s="23">
        <v>6176.8867924528295</v>
      </c>
      <c r="J187" s="24" t="s">
        <v>694</v>
      </c>
      <c r="K187" s="12">
        <v>10</v>
      </c>
      <c r="L187" s="25" t="s">
        <v>786</v>
      </c>
      <c r="M187" s="20">
        <v>0.06</v>
      </c>
      <c r="N187" s="26" t="s">
        <v>29</v>
      </c>
      <c r="O187" s="8"/>
      <c r="P187" s="9"/>
      <c r="Q187" s="8"/>
      <c r="R187" s="8"/>
      <c r="S187" s="8"/>
      <c r="T187" s="9"/>
      <c r="U187" s="8"/>
      <c r="V187" s="8"/>
      <c r="W187" s="8"/>
      <c r="X187" s="9"/>
      <c r="Y187" s="8"/>
      <c r="Z187" s="8"/>
      <c r="AA187" s="8"/>
    </row>
    <row r="188" spans="1:29" ht="33" x14ac:dyDescent="0.35">
      <c r="A188" s="10" t="s">
        <v>7</v>
      </c>
      <c r="B188" s="20" t="s">
        <v>779</v>
      </c>
      <c r="C188" s="20"/>
      <c r="D188" s="10" t="s">
        <v>7</v>
      </c>
      <c r="E188" s="14" t="s">
        <v>787</v>
      </c>
      <c r="F188" s="21">
        <v>43031</v>
      </c>
      <c r="G188" s="22">
        <v>920812.8</v>
      </c>
      <c r="H188" s="20">
        <v>0.30000000000000004</v>
      </c>
      <c r="I188" s="23">
        <v>260607.39622641515</v>
      </c>
      <c r="J188" s="150" t="s">
        <v>788</v>
      </c>
      <c r="K188" s="12">
        <v>10</v>
      </c>
      <c r="L188" s="25" t="s">
        <v>789</v>
      </c>
      <c r="M188" s="20">
        <v>0.06</v>
      </c>
      <c r="N188" s="26" t="s">
        <v>29</v>
      </c>
      <c r="O188" s="8"/>
      <c r="P188" s="9"/>
      <c r="Q188" s="8"/>
      <c r="R188" s="8"/>
      <c r="S188" s="8"/>
      <c r="T188" s="9"/>
      <c r="U188" s="8"/>
      <c r="V188" s="8"/>
      <c r="W188" s="8"/>
      <c r="X188" s="9"/>
      <c r="Y188" s="8"/>
      <c r="Z188" s="8"/>
      <c r="AA188" s="8"/>
    </row>
    <row r="189" spans="1:29" ht="33" x14ac:dyDescent="0.35">
      <c r="A189" s="10" t="s">
        <v>7</v>
      </c>
      <c r="B189" s="20" t="s">
        <v>779</v>
      </c>
      <c r="C189" s="20"/>
      <c r="D189" s="10" t="s">
        <v>7</v>
      </c>
      <c r="E189" s="14" t="s">
        <v>790</v>
      </c>
      <c r="F189" s="21">
        <v>43031</v>
      </c>
      <c r="G189" s="22">
        <v>169200</v>
      </c>
      <c r="H189" s="20">
        <v>0.30000000000000004</v>
      </c>
      <c r="I189" s="23">
        <v>47886.792452830196</v>
      </c>
      <c r="J189" s="150" t="s">
        <v>788</v>
      </c>
      <c r="K189" s="12">
        <v>10</v>
      </c>
      <c r="L189" s="25" t="s">
        <v>789</v>
      </c>
      <c r="M189" s="20">
        <v>0.06</v>
      </c>
      <c r="N189" s="26" t="s">
        <v>29</v>
      </c>
      <c r="O189" s="8"/>
      <c r="P189" s="9"/>
      <c r="Q189" s="167"/>
      <c r="R189" s="167"/>
      <c r="S189" s="167"/>
      <c r="T189" s="172"/>
      <c r="U189" s="167"/>
      <c r="V189" s="167"/>
      <c r="W189" s="167"/>
      <c r="X189" s="172"/>
      <c r="Y189" s="167"/>
      <c r="Z189" s="167"/>
      <c r="AA189" s="167"/>
    </row>
    <row r="190" spans="1:29" ht="33" x14ac:dyDescent="0.35">
      <c r="A190" s="10" t="s">
        <v>7</v>
      </c>
      <c r="B190" s="20" t="s">
        <v>779</v>
      </c>
      <c r="C190" s="20"/>
      <c r="D190" s="10" t="s">
        <v>7</v>
      </c>
      <c r="E190" s="14" t="s">
        <v>791</v>
      </c>
      <c r="F190" s="21">
        <v>43031</v>
      </c>
      <c r="G190" s="22">
        <v>43572.4</v>
      </c>
      <c r="H190" s="20">
        <v>0.3</v>
      </c>
      <c r="I190" s="23">
        <v>12331.811320754716</v>
      </c>
      <c r="J190" s="24" t="s">
        <v>684</v>
      </c>
      <c r="K190" s="12">
        <v>10</v>
      </c>
      <c r="L190" s="25" t="s">
        <v>792</v>
      </c>
      <c r="M190" s="20">
        <v>0.06</v>
      </c>
      <c r="N190" s="26" t="s">
        <v>29</v>
      </c>
      <c r="O190" s="8"/>
      <c r="P190" s="9"/>
      <c r="Q190" s="8"/>
      <c r="R190" s="8"/>
      <c r="S190" s="8"/>
      <c r="T190" s="9"/>
      <c r="U190" s="8"/>
      <c r="V190" s="8"/>
      <c r="W190" s="8"/>
      <c r="X190" s="9"/>
      <c r="Y190" s="8"/>
      <c r="Z190" s="8"/>
      <c r="AA190" s="8"/>
      <c r="AB190" s="176"/>
      <c r="AC190" s="176"/>
    </row>
    <row r="191" spans="1:29" ht="49.5" x14ac:dyDescent="0.35">
      <c r="A191" s="10" t="s">
        <v>7</v>
      </c>
      <c r="B191" s="20" t="s">
        <v>779</v>
      </c>
      <c r="C191" s="20"/>
      <c r="D191" s="10" t="s">
        <v>7</v>
      </c>
      <c r="E191" s="14" t="s">
        <v>793</v>
      </c>
      <c r="F191" s="21">
        <v>43031</v>
      </c>
      <c r="G191" s="22">
        <v>179741</v>
      </c>
      <c r="H191" s="20">
        <v>0.3</v>
      </c>
      <c r="I191" s="23">
        <v>50870.094339622636</v>
      </c>
      <c r="J191" s="24" t="s">
        <v>694</v>
      </c>
      <c r="K191" s="12">
        <v>10</v>
      </c>
      <c r="L191" s="25" t="s">
        <v>794</v>
      </c>
      <c r="M191" s="20">
        <v>0.06</v>
      </c>
      <c r="N191" s="26" t="s">
        <v>29</v>
      </c>
      <c r="O191" s="8"/>
      <c r="P191" s="9"/>
      <c r="Q191" s="8"/>
      <c r="R191" s="8"/>
      <c r="S191" s="8"/>
      <c r="T191" s="9"/>
      <c r="U191" s="8"/>
      <c r="V191" s="8"/>
      <c r="W191" s="8"/>
      <c r="X191" s="9"/>
      <c r="Y191" s="8"/>
      <c r="Z191" s="8"/>
      <c r="AA191" s="8"/>
      <c r="AB191" s="176"/>
      <c r="AC191" s="176"/>
    </row>
    <row r="192" spans="1:29" ht="49.5" x14ac:dyDescent="0.35">
      <c r="A192" s="10" t="s">
        <v>7</v>
      </c>
      <c r="B192" s="20" t="s">
        <v>779</v>
      </c>
      <c r="C192" s="20"/>
      <c r="D192" s="10" t="s">
        <v>7</v>
      </c>
      <c r="E192" s="14" t="s">
        <v>795</v>
      </c>
      <c r="F192" s="21">
        <v>43031</v>
      </c>
      <c r="G192" s="22">
        <v>203651.5</v>
      </c>
      <c r="H192" s="20">
        <v>0.3</v>
      </c>
      <c r="I192" s="23">
        <v>57637.216981132071</v>
      </c>
      <c r="J192" s="24" t="s">
        <v>694</v>
      </c>
      <c r="K192" s="12">
        <v>10</v>
      </c>
      <c r="L192" s="25" t="s">
        <v>796</v>
      </c>
      <c r="M192" s="20">
        <v>0.06</v>
      </c>
      <c r="N192" s="26" t="s">
        <v>29</v>
      </c>
      <c r="O192" s="8"/>
      <c r="P192" s="9"/>
      <c r="Q192" s="8"/>
      <c r="R192" s="8"/>
      <c r="S192" s="8"/>
      <c r="T192" s="9"/>
      <c r="U192" s="8"/>
      <c r="V192" s="8"/>
      <c r="W192" s="8"/>
      <c r="X192" s="9"/>
      <c r="Y192" s="8"/>
      <c r="Z192" s="8"/>
      <c r="AA192" s="8"/>
      <c r="AB192" s="176"/>
      <c r="AC192" s="176"/>
    </row>
    <row r="193" spans="1:29" ht="49.5" x14ac:dyDescent="0.35">
      <c r="A193" s="10" t="s">
        <v>7</v>
      </c>
      <c r="B193" s="20" t="s">
        <v>779</v>
      </c>
      <c r="C193" s="20"/>
      <c r="D193" s="10" t="s">
        <v>7</v>
      </c>
      <c r="E193" s="14" t="s">
        <v>797</v>
      </c>
      <c r="F193" s="21">
        <v>43031</v>
      </c>
      <c r="G193" s="22">
        <v>1571400</v>
      </c>
      <c r="H193" s="20">
        <v>0.3</v>
      </c>
      <c r="I193" s="23">
        <v>444735.84905660374</v>
      </c>
      <c r="J193" s="24" t="s">
        <v>694</v>
      </c>
      <c r="K193" s="12">
        <v>10</v>
      </c>
      <c r="L193" s="25" t="s">
        <v>798</v>
      </c>
      <c r="M193" s="20">
        <v>0.06</v>
      </c>
      <c r="N193" s="26" t="s">
        <v>29</v>
      </c>
      <c r="O193" s="8"/>
      <c r="P193" s="9"/>
      <c r="Q193" s="8"/>
      <c r="R193" s="8"/>
      <c r="S193" s="8"/>
      <c r="T193" s="9"/>
      <c r="U193" s="8"/>
      <c r="V193" s="8"/>
      <c r="W193" s="8"/>
      <c r="X193" s="9"/>
      <c r="Y193" s="8"/>
      <c r="Z193" s="8"/>
      <c r="AA193" s="8"/>
      <c r="AB193" s="176"/>
      <c r="AC193" s="176"/>
    </row>
    <row r="194" spans="1:29" ht="66" x14ac:dyDescent="0.35">
      <c r="A194" s="10" t="s">
        <v>7</v>
      </c>
      <c r="B194" s="20" t="s">
        <v>779</v>
      </c>
      <c r="C194" s="20"/>
      <c r="D194" s="10" t="s">
        <v>7</v>
      </c>
      <c r="E194" s="14" t="s">
        <v>799</v>
      </c>
      <c r="F194" s="21">
        <v>43031</v>
      </c>
      <c r="G194" s="22">
        <v>11872.8</v>
      </c>
      <c r="H194" s="20">
        <v>0.3</v>
      </c>
      <c r="I194" s="23">
        <v>3360.2264150943392</v>
      </c>
      <c r="J194" s="24" t="s">
        <v>684</v>
      </c>
      <c r="K194" s="12">
        <v>10</v>
      </c>
      <c r="L194" s="25" t="s">
        <v>800</v>
      </c>
      <c r="M194" s="20">
        <v>0.06</v>
      </c>
      <c r="N194" s="26" t="s">
        <v>29</v>
      </c>
      <c r="O194" s="8"/>
      <c r="P194" s="9"/>
      <c r="Q194" s="8"/>
      <c r="R194" s="8"/>
      <c r="S194" s="8"/>
      <c r="T194" s="9"/>
      <c r="U194" s="8"/>
      <c r="V194" s="8"/>
      <c r="W194" s="8"/>
      <c r="X194" s="9"/>
      <c r="Y194" s="8"/>
      <c r="Z194" s="8"/>
      <c r="AA194" s="8"/>
      <c r="AB194" s="176"/>
      <c r="AC194" s="176"/>
    </row>
    <row r="195" spans="1:29" ht="49.5" x14ac:dyDescent="0.35">
      <c r="A195" s="10" t="s">
        <v>7</v>
      </c>
      <c r="B195" s="20" t="s">
        <v>779</v>
      </c>
      <c r="C195" s="20"/>
      <c r="D195" s="10" t="s">
        <v>7</v>
      </c>
      <c r="E195" s="14" t="s">
        <v>801</v>
      </c>
      <c r="F195" s="21">
        <v>43038</v>
      </c>
      <c r="G195" s="22">
        <v>1332000</v>
      </c>
      <c r="H195" s="20">
        <v>0.3</v>
      </c>
      <c r="I195" s="23">
        <v>376981.13207547169</v>
      </c>
      <c r="J195" s="24" t="s">
        <v>694</v>
      </c>
      <c r="K195" s="12">
        <v>10</v>
      </c>
      <c r="L195" s="25" t="s">
        <v>798</v>
      </c>
      <c r="M195" s="20">
        <v>0.06</v>
      </c>
      <c r="N195" s="26" t="s">
        <v>29</v>
      </c>
      <c r="O195" s="8"/>
      <c r="P195" s="9"/>
      <c r="Q195" s="8"/>
      <c r="R195" s="8"/>
      <c r="S195" s="8"/>
      <c r="T195" s="9"/>
      <c r="U195" s="8"/>
      <c r="V195" s="8"/>
      <c r="W195" s="8"/>
      <c r="X195" s="9"/>
      <c r="Y195" s="8"/>
      <c r="Z195" s="8"/>
      <c r="AA195" s="8"/>
      <c r="AB195" s="176"/>
      <c r="AC195" s="176"/>
    </row>
    <row r="196" spans="1:29" ht="66" x14ac:dyDescent="0.35">
      <c r="A196" s="10" t="s">
        <v>36</v>
      </c>
      <c r="B196" s="20" t="s">
        <v>779</v>
      </c>
      <c r="C196" s="20"/>
      <c r="D196" s="10" t="s">
        <v>36</v>
      </c>
      <c r="E196" s="14" t="s">
        <v>802</v>
      </c>
      <c r="F196" s="21">
        <v>43039</v>
      </c>
      <c r="G196" s="22">
        <v>396000</v>
      </c>
      <c r="H196" s="20">
        <v>0.88</v>
      </c>
      <c r="I196" s="23">
        <v>328754.71698113205</v>
      </c>
      <c r="J196" s="24" t="s">
        <v>680</v>
      </c>
      <c r="K196" s="12">
        <v>10</v>
      </c>
      <c r="L196" s="25" t="s">
        <v>803</v>
      </c>
      <c r="M196" s="20">
        <v>0.06</v>
      </c>
      <c r="N196" s="26" t="s">
        <v>40</v>
      </c>
      <c r="O196" s="8"/>
      <c r="P196" s="9"/>
      <c r="Q196" s="8"/>
      <c r="R196" s="8"/>
      <c r="S196" s="8"/>
      <c r="T196" s="9"/>
      <c r="U196" s="8"/>
      <c r="V196" s="8"/>
      <c r="W196" s="8"/>
      <c r="X196" s="9"/>
      <c r="Y196" s="8"/>
      <c r="Z196" s="8"/>
      <c r="AA196" s="8"/>
      <c r="AB196" s="176"/>
      <c r="AC196" s="176"/>
    </row>
    <row r="197" spans="1:29" ht="66" x14ac:dyDescent="0.35">
      <c r="A197" s="10" t="s">
        <v>36</v>
      </c>
      <c r="B197" s="20" t="s">
        <v>779</v>
      </c>
      <c r="C197" s="20"/>
      <c r="D197" s="10" t="s">
        <v>36</v>
      </c>
      <c r="E197" s="14" t="s">
        <v>804</v>
      </c>
      <c r="F197" s="21">
        <v>43021</v>
      </c>
      <c r="G197" s="22">
        <v>-19000</v>
      </c>
      <c r="H197" s="20">
        <v>0.73850199999999999</v>
      </c>
      <c r="I197" s="23">
        <v>-13237.3</v>
      </c>
      <c r="J197" s="24" t="s">
        <v>805</v>
      </c>
      <c r="K197" s="12">
        <v>10</v>
      </c>
      <c r="L197" s="25" t="s">
        <v>806</v>
      </c>
      <c r="M197" s="20">
        <v>0.06</v>
      </c>
      <c r="N197" s="26" t="s">
        <v>40</v>
      </c>
      <c r="O197" s="8"/>
      <c r="P197" s="9"/>
      <c r="Q197" s="8"/>
      <c r="R197" s="8"/>
      <c r="S197" s="8"/>
      <c r="T197" s="9"/>
      <c r="U197" s="8"/>
      <c r="V197" s="8"/>
      <c r="W197" s="8"/>
      <c r="X197" s="9"/>
      <c r="Y197" s="8"/>
      <c r="Z197" s="8"/>
      <c r="AA197" s="8"/>
      <c r="AB197" s="176"/>
      <c r="AC197" s="176"/>
    </row>
    <row r="198" spans="1:29" ht="66" x14ac:dyDescent="0.35">
      <c r="A198" s="10" t="s">
        <v>7</v>
      </c>
      <c r="B198" s="11" t="s">
        <v>696</v>
      </c>
      <c r="C198" s="12"/>
      <c r="D198" s="13" t="s">
        <v>7</v>
      </c>
      <c r="E198" s="14" t="s">
        <v>807</v>
      </c>
      <c r="F198" s="15">
        <v>43056</v>
      </c>
      <c r="G198" s="16">
        <v>1522800</v>
      </c>
      <c r="H198" s="17">
        <v>0.3</v>
      </c>
      <c r="I198" s="16">
        <v>430981.13207547169</v>
      </c>
      <c r="J198" s="18" t="s">
        <v>692</v>
      </c>
      <c r="K198" s="12">
        <v>11</v>
      </c>
      <c r="L198" s="47" t="s">
        <v>803</v>
      </c>
      <c r="M198" s="12"/>
      <c r="N198" s="12" t="s">
        <v>29</v>
      </c>
      <c r="O198" s="8"/>
      <c r="P198" s="9"/>
      <c r="Q198" s="8"/>
      <c r="R198" s="8"/>
      <c r="S198" s="8"/>
      <c r="T198" s="9"/>
      <c r="U198" s="8"/>
      <c r="V198" s="8"/>
      <c r="W198" s="8"/>
      <c r="X198" s="9"/>
      <c r="Y198" s="8"/>
      <c r="Z198" s="8"/>
      <c r="AA198" s="8"/>
      <c r="AB198" s="176"/>
      <c r="AC198" s="176"/>
    </row>
    <row r="199" spans="1:29" ht="49.5" x14ac:dyDescent="0.35">
      <c r="A199" s="10" t="s">
        <v>36</v>
      </c>
      <c r="B199" s="11" t="s">
        <v>696</v>
      </c>
      <c r="C199" s="12"/>
      <c r="D199" s="13" t="s">
        <v>36</v>
      </c>
      <c r="E199" s="14" t="s">
        <v>808</v>
      </c>
      <c r="F199" s="15">
        <v>43063</v>
      </c>
      <c r="G199" s="16">
        <v>680000</v>
      </c>
      <c r="H199" s="17">
        <v>0.9</v>
      </c>
      <c r="I199" s="16">
        <v>577358.49056603771</v>
      </c>
      <c r="J199" s="18" t="s">
        <v>680</v>
      </c>
      <c r="K199" s="12">
        <v>11</v>
      </c>
      <c r="L199" s="47" t="s">
        <v>809</v>
      </c>
      <c r="M199" s="12"/>
      <c r="N199" s="12" t="s">
        <v>40</v>
      </c>
      <c r="O199" s="8"/>
      <c r="P199" s="9"/>
      <c r="Q199" s="8"/>
      <c r="R199" s="8"/>
      <c r="S199" s="8"/>
      <c r="T199" s="9"/>
      <c r="U199" s="8"/>
      <c r="V199" s="8"/>
      <c r="W199" s="8"/>
      <c r="X199" s="9"/>
      <c r="Y199" s="8"/>
      <c r="Z199" s="8"/>
      <c r="AA199" s="8"/>
      <c r="AB199" s="176"/>
      <c r="AC199" s="176"/>
    </row>
    <row r="200" spans="1:29" ht="49.5" x14ac:dyDescent="0.35">
      <c r="A200" s="10" t="s">
        <v>7</v>
      </c>
      <c r="B200" s="11" t="s">
        <v>696</v>
      </c>
      <c r="C200" s="12"/>
      <c r="D200" s="13" t="s">
        <v>7</v>
      </c>
      <c r="E200" s="14" t="s">
        <v>810</v>
      </c>
      <c r="F200" s="15">
        <v>43066</v>
      </c>
      <c r="G200" s="16">
        <v>84600</v>
      </c>
      <c r="H200" s="17">
        <v>0.3</v>
      </c>
      <c r="I200" s="16">
        <v>23943.396226415094</v>
      </c>
      <c r="J200" s="150" t="s">
        <v>788</v>
      </c>
      <c r="K200" s="12">
        <v>11</v>
      </c>
      <c r="L200" s="47" t="s">
        <v>811</v>
      </c>
      <c r="M200" s="12"/>
      <c r="N200" s="12" t="s">
        <v>29</v>
      </c>
      <c r="O200" s="8"/>
      <c r="P200" s="9"/>
      <c r="Q200" s="8"/>
      <c r="R200" s="8"/>
      <c r="S200" s="8"/>
      <c r="T200" s="9"/>
      <c r="U200" s="8"/>
      <c r="V200" s="8"/>
      <c r="W200" s="8"/>
      <c r="X200" s="9"/>
      <c r="Y200" s="8"/>
      <c r="Z200" s="8"/>
      <c r="AA200" s="8"/>
      <c r="AB200" s="176"/>
      <c r="AC200" s="176"/>
    </row>
    <row r="201" spans="1:29" ht="49.5" x14ac:dyDescent="0.35">
      <c r="A201" s="10" t="s">
        <v>7</v>
      </c>
      <c r="B201" s="11" t="s">
        <v>696</v>
      </c>
      <c r="C201" s="12"/>
      <c r="D201" s="13" t="s">
        <v>7</v>
      </c>
      <c r="E201" s="14" t="s">
        <v>812</v>
      </c>
      <c r="F201" s="15">
        <v>43068</v>
      </c>
      <c r="G201" s="16">
        <v>253800</v>
      </c>
      <c r="H201" s="17">
        <v>0.3</v>
      </c>
      <c r="I201" s="16">
        <v>71830.188679245286</v>
      </c>
      <c r="J201" s="18" t="s">
        <v>692</v>
      </c>
      <c r="K201" s="12">
        <v>11</v>
      </c>
      <c r="L201" s="47" t="s">
        <v>813</v>
      </c>
      <c r="M201" s="12"/>
      <c r="N201" s="12" t="s">
        <v>29</v>
      </c>
      <c r="O201" s="8"/>
      <c r="P201" s="9"/>
      <c r="Q201" s="8"/>
      <c r="R201" s="8"/>
      <c r="S201" s="8"/>
      <c r="T201" s="9"/>
      <c r="U201" s="8"/>
      <c r="V201" s="8"/>
      <c r="W201" s="8"/>
      <c r="X201" s="9"/>
      <c r="Y201" s="8"/>
      <c r="Z201" s="8"/>
      <c r="AA201" s="8"/>
      <c r="AB201" s="176"/>
      <c r="AC201" s="176"/>
    </row>
    <row r="202" spans="1:29" ht="33" x14ac:dyDescent="0.35">
      <c r="A202" s="10" t="s">
        <v>7</v>
      </c>
      <c r="B202" s="11" t="s">
        <v>696</v>
      </c>
      <c r="C202" s="12"/>
      <c r="D202" s="13" t="s">
        <v>7</v>
      </c>
      <c r="E202" s="14" t="s">
        <v>814</v>
      </c>
      <c r="F202" s="15">
        <v>43068</v>
      </c>
      <c r="G202" s="16">
        <v>9137.4</v>
      </c>
      <c r="H202" s="17">
        <v>0.3</v>
      </c>
      <c r="I202" s="16">
        <v>2586.0566037735848</v>
      </c>
      <c r="J202" s="18" t="s">
        <v>692</v>
      </c>
      <c r="K202" s="12">
        <v>11</v>
      </c>
      <c r="L202" s="47" t="s">
        <v>815</v>
      </c>
      <c r="M202" s="12"/>
      <c r="N202" s="12" t="s">
        <v>29</v>
      </c>
      <c r="O202" s="8"/>
      <c r="P202" s="9"/>
      <c r="Q202" s="8"/>
      <c r="R202" s="8"/>
      <c r="S202" s="8"/>
      <c r="T202" s="9"/>
      <c r="U202" s="8"/>
      <c r="V202" s="8"/>
      <c r="W202" s="8"/>
      <c r="X202" s="9"/>
      <c r="Y202" s="8"/>
      <c r="Z202" s="8"/>
      <c r="AA202" s="8"/>
      <c r="AB202" s="176"/>
      <c r="AC202" s="176"/>
    </row>
    <row r="203" spans="1:29" ht="16.5" x14ac:dyDescent="0.35">
      <c r="A203" s="10" t="s">
        <v>36</v>
      </c>
      <c r="B203" s="11" t="s">
        <v>878</v>
      </c>
      <c r="C203" s="12"/>
      <c r="D203" s="13" t="s">
        <v>36</v>
      </c>
      <c r="E203" s="14" t="s">
        <v>879</v>
      </c>
      <c r="F203" s="15">
        <v>43090</v>
      </c>
      <c r="G203" s="151">
        <v>14960000</v>
      </c>
      <c r="H203" s="152">
        <v>0.47189999999999999</v>
      </c>
      <c r="I203" s="23">
        <v>6660022.6415094333</v>
      </c>
      <c r="J203" s="18" t="s">
        <v>880</v>
      </c>
      <c r="K203" s="12">
        <v>12</v>
      </c>
      <c r="L203" s="19" t="s">
        <v>881</v>
      </c>
      <c r="M203" s="20">
        <v>0.06</v>
      </c>
      <c r="N203" s="12" t="s">
        <v>40</v>
      </c>
      <c r="O203" s="8" t="s">
        <v>882</v>
      </c>
      <c r="P203" s="9">
        <v>1</v>
      </c>
      <c r="Q203" s="153">
        <v>14960000</v>
      </c>
      <c r="R203" s="153">
        <v>6660022.6415094333</v>
      </c>
      <c r="S203" s="8">
        <v>0</v>
      </c>
      <c r="T203" s="9">
        <v>0</v>
      </c>
      <c r="U203" s="8">
        <v>0</v>
      </c>
      <c r="V203" s="8">
        <v>0</v>
      </c>
      <c r="W203" s="8">
        <v>0</v>
      </c>
      <c r="X203" s="9">
        <v>0</v>
      </c>
      <c r="Y203" s="8">
        <v>0</v>
      </c>
      <c r="Z203" s="8">
        <v>0</v>
      </c>
      <c r="AA203" s="8" t="s">
        <v>32</v>
      </c>
      <c r="AB203" s="176"/>
      <c r="AC203" s="176"/>
    </row>
    <row r="204" spans="1:29" ht="33" x14ac:dyDescent="0.35">
      <c r="A204" s="10" t="s">
        <v>36</v>
      </c>
      <c r="B204" s="20" t="s">
        <v>883</v>
      </c>
      <c r="C204" s="20"/>
      <c r="D204" s="10" t="s">
        <v>36</v>
      </c>
      <c r="E204" s="14" t="s">
        <v>884</v>
      </c>
      <c r="F204" s="21">
        <v>43026</v>
      </c>
      <c r="G204" s="151">
        <v>7200000</v>
      </c>
      <c r="H204" s="20">
        <v>0.35760000000000003</v>
      </c>
      <c r="I204" s="23">
        <v>2428981.1320754718</v>
      </c>
      <c r="J204" s="24" t="s">
        <v>880</v>
      </c>
      <c r="K204" s="12">
        <v>10</v>
      </c>
      <c r="L204" s="25" t="s">
        <v>885</v>
      </c>
      <c r="M204" s="20">
        <v>0.06</v>
      </c>
      <c r="N204" s="154" t="s">
        <v>40</v>
      </c>
      <c r="O204" s="8" t="s">
        <v>882</v>
      </c>
      <c r="P204" s="9">
        <v>1</v>
      </c>
      <c r="Q204" s="153">
        <v>7200000</v>
      </c>
      <c r="R204" s="153">
        <v>2428981.1320754718</v>
      </c>
      <c r="S204" s="8">
        <v>0</v>
      </c>
      <c r="T204" s="9">
        <v>0</v>
      </c>
      <c r="U204" s="8">
        <v>0</v>
      </c>
      <c r="V204" s="8">
        <v>0</v>
      </c>
      <c r="W204" s="8">
        <v>0</v>
      </c>
      <c r="X204" s="9">
        <v>0</v>
      </c>
      <c r="Y204" s="8">
        <v>0</v>
      </c>
      <c r="Z204" s="8">
        <v>0</v>
      </c>
      <c r="AA204" s="8" t="s">
        <v>8</v>
      </c>
      <c r="AB204" s="176"/>
      <c r="AC204" s="176"/>
    </row>
    <row r="205" spans="1:29" ht="49.5" x14ac:dyDescent="0.35">
      <c r="A205" s="10" t="s">
        <v>36</v>
      </c>
      <c r="B205" s="11" t="s">
        <v>898</v>
      </c>
      <c r="C205" s="12"/>
      <c r="D205" s="13" t="s">
        <v>36</v>
      </c>
      <c r="E205" s="14" t="s">
        <v>899</v>
      </c>
      <c r="F205" s="15">
        <v>43046</v>
      </c>
      <c r="G205" s="16">
        <v>2830000</v>
      </c>
      <c r="H205" s="17">
        <v>0.68200000000000016</v>
      </c>
      <c r="I205" s="16">
        <v>1820811.3207547199</v>
      </c>
      <c r="J205" s="18" t="s">
        <v>900</v>
      </c>
      <c r="K205" s="12">
        <v>11</v>
      </c>
      <c r="L205" s="47" t="s">
        <v>901</v>
      </c>
      <c r="M205" s="12"/>
      <c r="N205" s="12" t="s">
        <v>40</v>
      </c>
      <c r="O205" s="8" t="s">
        <v>902</v>
      </c>
      <c r="P205" s="9">
        <v>1</v>
      </c>
      <c r="Q205" s="8">
        <v>2830000</v>
      </c>
      <c r="R205" s="8">
        <v>1820811.3207547199</v>
      </c>
      <c r="S205" s="8"/>
      <c r="T205" s="9"/>
      <c r="U205" s="8"/>
      <c r="V205" s="8"/>
      <c r="W205" s="8"/>
      <c r="X205" s="9"/>
      <c r="Y205" s="8"/>
      <c r="Z205" s="8"/>
      <c r="AA205" s="8" t="s">
        <v>8</v>
      </c>
      <c r="AB205" s="176"/>
      <c r="AC205" s="176"/>
    </row>
    <row r="206" spans="1:29" ht="49.5" x14ac:dyDescent="0.35">
      <c r="A206" s="10" t="s">
        <v>36</v>
      </c>
      <c r="B206" s="11" t="s">
        <v>898</v>
      </c>
      <c r="C206" s="12"/>
      <c r="D206" s="13" t="s">
        <v>36</v>
      </c>
      <c r="E206" s="14" t="s">
        <v>899</v>
      </c>
      <c r="F206" s="15">
        <v>43046</v>
      </c>
      <c r="G206" s="16">
        <v>170000</v>
      </c>
      <c r="H206" s="17">
        <v>1</v>
      </c>
      <c r="I206" s="16">
        <v>160377.358490566</v>
      </c>
      <c r="J206" s="18" t="s">
        <v>900</v>
      </c>
      <c r="K206" s="12">
        <v>11</v>
      </c>
      <c r="L206" s="47" t="s">
        <v>901</v>
      </c>
      <c r="M206" s="12"/>
      <c r="N206" s="12" t="s">
        <v>40</v>
      </c>
      <c r="O206" s="8" t="s">
        <v>902</v>
      </c>
      <c r="P206" s="9">
        <v>1</v>
      </c>
      <c r="Q206" s="8">
        <v>170000</v>
      </c>
      <c r="R206" s="8">
        <v>160377.358490566</v>
      </c>
      <c r="S206" s="8"/>
      <c r="T206" s="9"/>
      <c r="U206" s="8"/>
      <c r="V206" s="8"/>
      <c r="W206" s="8"/>
      <c r="X206" s="9"/>
      <c r="Y206" s="8"/>
      <c r="Z206" s="8"/>
      <c r="AA206" s="8" t="s">
        <v>8</v>
      </c>
      <c r="AB206" s="176"/>
      <c r="AC206" s="176"/>
    </row>
    <row r="207" spans="1:29" ht="33" x14ac:dyDescent="0.35">
      <c r="A207" s="10" t="s">
        <v>306</v>
      </c>
      <c r="B207" s="11" t="s">
        <v>898</v>
      </c>
      <c r="C207" s="12"/>
      <c r="D207" s="13" t="s">
        <v>306</v>
      </c>
      <c r="E207" s="14" t="s">
        <v>903</v>
      </c>
      <c r="F207" s="15">
        <v>43008</v>
      </c>
      <c r="G207" s="16">
        <v>-2250000</v>
      </c>
      <c r="H207" s="17">
        <v>0.75</v>
      </c>
      <c r="I207" s="16">
        <v>-1591981.1320754699</v>
      </c>
      <c r="J207" s="18">
        <v>0</v>
      </c>
      <c r="K207" s="12">
        <v>11</v>
      </c>
      <c r="L207" s="47" t="s">
        <v>904</v>
      </c>
      <c r="M207" s="12"/>
      <c r="N207" s="12" t="s">
        <v>310</v>
      </c>
      <c r="O207" s="8"/>
      <c r="P207" s="9"/>
      <c r="Q207" s="8"/>
      <c r="R207" s="8"/>
      <c r="S207" s="8"/>
      <c r="T207" s="9"/>
      <c r="U207" s="8"/>
      <c r="V207" s="8"/>
      <c r="W207" s="8"/>
      <c r="X207" s="9"/>
      <c r="Y207" s="8"/>
      <c r="Z207" s="8"/>
      <c r="AA207" s="8" t="s">
        <v>8</v>
      </c>
      <c r="AB207" s="176"/>
      <c r="AC207" s="176"/>
    </row>
    <row r="208" spans="1:29" ht="33" x14ac:dyDescent="0.35">
      <c r="A208" s="10" t="s">
        <v>306</v>
      </c>
      <c r="B208" s="11" t="s">
        <v>898</v>
      </c>
      <c r="C208" s="12"/>
      <c r="D208" s="13" t="s">
        <v>306</v>
      </c>
      <c r="E208" s="14" t="s">
        <v>903</v>
      </c>
      <c r="F208" s="15">
        <v>43008</v>
      </c>
      <c r="G208" s="16">
        <v>2250000</v>
      </c>
      <c r="H208" s="17">
        <v>0.81779999999999997</v>
      </c>
      <c r="I208" s="16">
        <v>1735896.226415094</v>
      </c>
      <c r="J208" s="18">
        <v>0</v>
      </c>
      <c r="K208" s="12">
        <v>11</v>
      </c>
      <c r="L208" s="47" t="s">
        <v>904</v>
      </c>
      <c r="M208" s="12"/>
      <c r="N208" s="12" t="s">
        <v>310</v>
      </c>
      <c r="O208" s="8" t="s">
        <v>905</v>
      </c>
      <c r="P208" s="9">
        <v>0.6</v>
      </c>
      <c r="Q208" s="8">
        <v>1350000</v>
      </c>
      <c r="R208" s="8">
        <v>1050000</v>
      </c>
      <c r="S208" s="8" t="s">
        <v>902</v>
      </c>
      <c r="T208" s="9">
        <v>0.4</v>
      </c>
      <c r="U208" s="8">
        <v>90</v>
      </c>
      <c r="V208" s="8">
        <v>690000</v>
      </c>
      <c r="W208" s="8"/>
      <c r="X208" s="9"/>
      <c r="Y208" s="8"/>
      <c r="Z208" s="8"/>
      <c r="AA208" s="8" t="s">
        <v>8</v>
      </c>
      <c r="AB208" s="176"/>
      <c r="AC208" s="176"/>
    </row>
    <row r="215" spans="9:9" x14ac:dyDescent="0.15">
      <c r="I215">
        <v>0</v>
      </c>
    </row>
  </sheetData>
  <autoFilter ref="A1:AC208">
    <sortState ref="A2:AC729">
      <sortCondition sortBy="cellColor" ref="AC1:AC729" dxfId="1"/>
    </sortState>
  </autoFilter>
  <phoneticPr fontId="3" type="noConversion"/>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AC467"/>
  <sheetViews>
    <sheetView workbookViewId="0">
      <pane ySplit="1" topLeftCell="A2" activePane="bottomLeft" state="frozen"/>
      <selection pane="bottomLeft" activeCell="C11" sqref="C11"/>
    </sheetView>
  </sheetViews>
  <sheetFormatPr defaultRowHeight="13.5" x14ac:dyDescent="0.15"/>
  <sheetData>
    <row r="1" spans="1:29" ht="16.5" x14ac:dyDescent="0.15">
      <c r="A1" s="27" t="s">
        <v>42</v>
      </c>
      <c r="B1" s="27" t="s">
        <v>43</v>
      </c>
      <c r="C1" s="27" t="s">
        <v>11</v>
      </c>
      <c r="D1" s="28" t="s">
        <v>12</v>
      </c>
      <c r="E1" s="27" t="s">
        <v>44</v>
      </c>
      <c r="F1" s="29" t="s">
        <v>45</v>
      </c>
      <c r="G1" s="29" t="s">
        <v>46</v>
      </c>
      <c r="H1" s="30" t="s">
        <v>47</v>
      </c>
      <c r="I1" s="31" t="s">
        <v>48</v>
      </c>
      <c r="J1" s="32" t="s">
        <v>49</v>
      </c>
      <c r="K1" s="33" t="s">
        <v>50</v>
      </c>
      <c r="L1" s="28" t="s">
        <v>51</v>
      </c>
      <c r="M1" s="28" t="s">
        <v>52</v>
      </c>
      <c r="N1" s="34" t="s">
        <v>53</v>
      </c>
      <c r="O1" s="28" t="s">
        <v>54</v>
      </c>
      <c r="P1" s="28" t="s">
        <v>20</v>
      </c>
      <c r="Q1" s="39" t="s">
        <v>22</v>
      </c>
      <c r="R1" s="39" t="s">
        <v>23</v>
      </c>
      <c r="S1" s="39" t="s">
        <v>55</v>
      </c>
      <c r="T1" s="39" t="s">
        <v>25</v>
      </c>
      <c r="U1" s="39" t="s">
        <v>2</v>
      </c>
      <c r="V1" s="39" t="s">
        <v>23</v>
      </c>
      <c r="W1" s="39" t="s">
        <v>55</v>
      </c>
      <c r="X1" s="39" t="s">
        <v>25</v>
      </c>
      <c r="Y1" s="39" t="s">
        <v>26</v>
      </c>
      <c r="Z1" s="39" t="s">
        <v>23</v>
      </c>
      <c r="AA1" s="39" t="s">
        <v>55</v>
      </c>
      <c r="AB1" s="39" t="s">
        <v>25</v>
      </c>
      <c r="AC1" s="39" t="s">
        <v>1</v>
      </c>
    </row>
    <row r="2" spans="1:29" ht="16.5" x14ac:dyDescent="0.15">
      <c r="A2" s="35" t="s">
        <v>36</v>
      </c>
      <c r="B2" s="35" t="s">
        <v>539</v>
      </c>
      <c r="C2" s="36"/>
      <c r="D2" s="35" t="s">
        <v>36</v>
      </c>
      <c r="E2" s="14" t="s">
        <v>550</v>
      </c>
      <c r="F2" s="16">
        <v>70000</v>
      </c>
      <c r="G2" s="16">
        <v>59829.059829059835</v>
      </c>
      <c r="H2" s="37">
        <v>0.8502021563342318</v>
      </c>
      <c r="I2" s="16">
        <v>50866.795678116439</v>
      </c>
      <c r="J2" s="15"/>
      <c r="K2" s="35" t="s">
        <v>551</v>
      </c>
      <c r="L2" s="36">
        <v>12</v>
      </c>
      <c r="M2" s="36" t="s">
        <v>57</v>
      </c>
      <c r="N2" s="38">
        <v>0</v>
      </c>
      <c r="O2" s="36" t="s">
        <v>40</v>
      </c>
      <c r="P2" s="36"/>
      <c r="Q2" s="36" t="s">
        <v>552</v>
      </c>
      <c r="R2" s="125">
        <v>1</v>
      </c>
      <c r="S2" s="126">
        <f>G2</f>
        <v>59829.059829059835</v>
      </c>
      <c r="T2" s="126">
        <f>I2</f>
        <v>50866.795678116439</v>
      </c>
      <c r="U2" s="36">
        <v>0</v>
      </c>
      <c r="V2" s="125">
        <v>0</v>
      </c>
      <c r="W2" s="36">
        <v>0</v>
      </c>
      <c r="X2" s="36">
        <v>0</v>
      </c>
      <c r="Y2" s="36">
        <v>0</v>
      </c>
      <c r="Z2" s="36">
        <v>0</v>
      </c>
      <c r="AA2" s="36">
        <v>0</v>
      </c>
      <c r="AB2" s="36">
        <v>0</v>
      </c>
      <c r="AC2" s="36" t="s">
        <v>5</v>
      </c>
    </row>
    <row r="3" spans="1:29" ht="16.5" x14ac:dyDescent="0.15">
      <c r="A3" s="35" t="s">
        <v>36</v>
      </c>
      <c r="B3" s="35" t="s">
        <v>539</v>
      </c>
      <c r="C3" s="36"/>
      <c r="D3" s="35" t="s">
        <v>36</v>
      </c>
      <c r="E3" s="14" t="s">
        <v>557</v>
      </c>
      <c r="F3" s="16">
        <v>50000</v>
      </c>
      <c r="G3" s="16">
        <v>47169.811320754714</v>
      </c>
      <c r="H3" s="37">
        <v>1</v>
      </c>
      <c r="I3" s="16">
        <v>47169.811320754714</v>
      </c>
      <c r="J3" s="15"/>
      <c r="K3" s="35" t="s">
        <v>551</v>
      </c>
      <c r="L3" s="36">
        <v>12</v>
      </c>
      <c r="M3" s="36" t="s">
        <v>57</v>
      </c>
      <c r="N3" s="38">
        <v>0</v>
      </c>
      <c r="O3" s="36" t="s">
        <v>40</v>
      </c>
      <c r="P3" s="36"/>
      <c r="Q3" s="36" t="s">
        <v>552</v>
      </c>
      <c r="R3" s="125">
        <v>1</v>
      </c>
      <c r="S3" s="126">
        <f>G3</f>
        <v>47169.811320754714</v>
      </c>
      <c r="T3" s="126">
        <f>I3</f>
        <v>47169.811320754714</v>
      </c>
      <c r="U3" s="36">
        <v>0</v>
      </c>
      <c r="V3" s="125">
        <v>0</v>
      </c>
      <c r="W3" s="36">
        <v>0</v>
      </c>
      <c r="X3" s="36">
        <v>0</v>
      </c>
      <c r="Y3" s="36">
        <v>0</v>
      </c>
      <c r="Z3" s="36">
        <v>0</v>
      </c>
      <c r="AA3" s="36">
        <v>0</v>
      </c>
      <c r="AB3" s="36">
        <v>0</v>
      </c>
      <c r="AC3" s="36" t="s">
        <v>5</v>
      </c>
    </row>
    <row r="4" spans="1:29" ht="16.5" x14ac:dyDescent="0.35">
      <c r="A4" s="35" t="s">
        <v>69</v>
      </c>
      <c r="B4" s="35" t="s">
        <v>558</v>
      </c>
      <c r="C4" s="12"/>
      <c r="D4" s="35" t="s">
        <v>69</v>
      </c>
      <c r="E4" s="41" t="s">
        <v>70</v>
      </c>
      <c r="F4" s="42"/>
      <c r="G4" s="42"/>
      <c r="H4" s="19"/>
      <c r="I4" s="42">
        <v>704841.06662187318</v>
      </c>
      <c r="J4" s="15"/>
      <c r="K4" s="35"/>
      <c r="L4" s="35">
        <v>10</v>
      </c>
      <c r="M4" s="35" t="s">
        <v>57</v>
      </c>
      <c r="N4" s="44">
        <v>704841.06662187318</v>
      </c>
      <c r="O4" s="35" t="s">
        <v>29</v>
      </c>
      <c r="P4" s="19"/>
      <c r="Q4" s="36" t="s">
        <v>552</v>
      </c>
      <c r="R4" s="125">
        <v>1</v>
      </c>
      <c r="S4" s="126"/>
      <c r="T4" s="126">
        <f>I4</f>
        <v>704841.06662187318</v>
      </c>
      <c r="U4" s="36"/>
      <c r="V4" s="36"/>
      <c r="W4" s="36"/>
      <c r="X4" s="36"/>
      <c r="Y4" s="36"/>
      <c r="Z4" s="36"/>
      <c r="AA4" s="36"/>
      <c r="AB4" s="36"/>
      <c r="AC4" s="36"/>
    </row>
    <row r="5" spans="1:29" ht="16.5" x14ac:dyDescent="0.15">
      <c r="A5" s="35" t="s">
        <v>36</v>
      </c>
      <c r="B5" s="35" t="s">
        <v>27</v>
      </c>
      <c r="C5" s="36"/>
      <c r="D5" s="35" t="s">
        <v>36</v>
      </c>
      <c r="E5" s="14" t="s">
        <v>56</v>
      </c>
      <c r="F5" s="16">
        <v>900000</v>
      </c>
      <c r="G5" s="16">
        <v>849056.60377358506</v>
      </c>
      <c r="H5" s="37">
        <v>0.9</v>
      </c>
      <c r="I5" s="16">
        <v>764150.94339622604</v>
      </c>
      <c r="J5" s="15"/>
      <c r="K5" s="35" t="s">
        <v>4</v>
      </c>
      <c r="L5" s="36">
        <v>12</v>
      </c>
      <c r="M5" s="36" t="s">
        <v>57</v>
      </c>
      <c r="N5" s="38">
        <v>0</v>
      </c>
      <c r="O5" s="36" t="s">
        <v>40</v>
      </c>
      <c r="P5" s="36"/>
      <c r="Q5" s="39" t="s">
        <v>58</v>
      </c>
      <c r="R5" s="40">
        <v>0.8</v>
      </c>
      <c r="S5" s="39">
        <v>679245.28301799996</v>
      </c>
      <c r="T5" s="39">
        <v>611320.75471600005</v>
      </c>
      <c r="U5" s="39" t="s">
        <v>34</v>
      </c>
      <c r="V5" s="40">
        <v>0.2</v>
      </c>
      <c r="W5" s="39">
        <v>169811.32075399999</v>
      </c>
      <c r="X5" s="39">
        <v>152830.18867900001</v>
      </c>
      <c r="Y5" s="39" t="s">
        <v>31</v>
      </c>
      <c r="Z5" s="39" t="s">
        <v>31</v>
      </c>
      <c r="AA5" s="39" t="s">
        <v>31</v>
      </c>
      <c r="AB5" s="39" t="s">
        <v>31</v>
      </c>
      <c r="AC5" s="39" t="s">
        <v>59</v>
      </c>
    </row>
    <row r="6" spans="1:29" ht="16.5" x14ac:dyDescent="0.15">
      <c r="A6" s="35" t="s">
        <v>7</v>
      </c>
      <c r="B6" s="35" t="s">
        <v>27</v>
      </c>
      <c r="C6" s="36"/>
      <c r="D6" s="35" t="s">
        <v>7</v>
      </c>
      <c r="E6" s="14" t="s">
        <v>60</v>
      </c>
      <c r="F6" s="16">
        <v>2700000</v>
      </c>
      <c r="G6" s="16">
        <v>2547169.81132075</v>
      </c>
      <c r="H6" s="37">
        <v>0.41337144248905794</v>
      </c>
      <c r="I6" s="16">
        <v>1052927.25917024</v>
      </c>
      <c r="J6" s="15"/>
      <c r="K6" s="35" t="s">
        <v>61</v>
      </c>
      <c r="L6" s="36">
        <v>12</v>
      </c>
      <c r="M6" s="36" t="s">
        <v>57</v>
      </c>
      <c r="N6" s="38">
        <v>0</v>
      </c>
      <c r="O6" s="36" t="s">
        <v>29</v>
      </c>
      <c r="P6" s="36"/>
      <c r="Q6" s="39" t="s">
        <v>34</v>
      </c>
      <c r="R6" s="40">
        <v>1</v>
      </c>
      <c r="S6" s="39">
        <v>2547169.81132075</v>
      </c>
      <c r="T6" s="39">
        <v>1052927.25917024</v>
      </c>
      <c r="U6" s="39" t="s">
        <v>31</v>
      </c>
      <c r="V6" s="39" t="s">
        <v>31</v>
      </c>
      <c r="W6" s="39" t="s">
        <v>31</v>
      </c>
      <c r="X6" s="39" t="s">
        <v>31</v>
      </c>
      <c r="Y6" s="39" t="s">
        <v>31</v>
      </c>
      <c r="Z6" s="39" t="s">
        <v>31</v>
      </c>
      <c r="AA6" s="39" t="s">
        <v>31</v>
      </c>
      <c r="AB6" s="39" t="s">
        <v>31</v>
      </c>
      <c r="AC6" s="39" t="s">
        <v>59</v>
      </c>
    </row>
    <row r="7" spans="1:29" ht="16.5" x14ac:dyDescent="0.15">
      <c r="A7" s="35" t="s">
        <v>7</v>
      </c>
      <c r="B7" s="35" t="s">
        <v>27</v>
      </c>
      <c r="C7" s="36"/>
      <c r="D7" s="35" t="s">
        <v>7</v>
      </c>
      <c r="E7" s="14" t="s">
        <v>62</v>
      </c>
      <c r="F7" s="16">
        <v>3100000</v>
      </c>
      <c r="G7" s="16">
        <v>2924528.30188679</v>
      </c>
      <c r="H7" s="37">
        <v>0.30690000000000001</v>
      </c>
      <c r="I7" s="16">
        <v>897537.73584905697</v>
      </c>
      <c r="J7" s="15"/>
      <c r="K7" s="35" t="s">
        <v>63</v>
      </c>
      <c r="L7" s="36">
        <v>12</v>
      </c>
      <c r="M7" s="36" t="s">
        <v>64</v>
      </c>
      <c r="N7" s="38">
        <v>0</v>
      </c>
      <c r="O7" s="36" t="s">
        <v>29</v>
      </c>
      <c r="P7" s="36"/>
      <c r="Q7" s="39" t="s">
        <v>65</v>
      </c>
      <c r="R7" s="40">
        <v>1</v>
      </c>
      <c r="S7" s="39">
        <v>2924528.30188679</v>
      </c>
      <c r="T7" s="39">
        <v>897537.73584905697</v>
      </c>
      <c r="U7" s="39" t="s">
        <v>31</v>
      </c>
      <c r="V7" s="39" t="s">
        <v>31</v>
      </c>
      <c r="W7" s="39" t="s">
        <v>31</v>
      </c>
      <c r="X7" s="39" t="s">
        <v>31</v>
      </c>
      <c r="Y7" s="39" t="s">
        <v>31</v>
      </c>
      <c r="Z7" s="39" t="s">
        <v>31</v>
      </c>
      <c r="AA7" s="39" t="s">
        <v>31</v>
      </c>
      <c r="AB7" s="39" t="s">
        <v>31</v>
      </c>
      <c r="AC7" s="39" t="s">
        <v>59</v>
      </c>
    </row>
    <row r="8" spans="1:29" ht="16.5" x14ac:dyDescent="0.15">
      <c r="A8" s="35" t="s">
        <v>7</v>
      </c>
      <c r="B8" s="35" t="s">
        <v>27</v>
      </c>
      <c r="C8" s="36"/>
      <c r="D8" s="35" t="s">
        <v>7</v>
      </c>
      <c r="E8" s="14" t="s">
        <v>66</v>
      </c>
      <c r="F8" s="16">
        <v>646000</v>
      </c>
      <c r="G8" s="16">
        <v>609433.96226415096</v>
      </c>
      <c r="H8" s="37">
        <v>0.43579999999999997</v>
      </c>
      <c r="I8" s="16">
        <v>265591.32075471699</v>
      </c>
      <c r="J8" s="15"/>
      <c r="K8" s="35" t="s">
        <v>6</v>
      </c>
      <c r="L8" s="36">
        <v>12</v>
      </c>
      <c r="M8" s="36" t="s">
        <v>67</v>
      </c>
      <c r="N8" s="38">
        <v>38160.03324651123</v>
      </c>
      <c r="O8" s="36" t="s">
        <v>29</v>
      </c>
      <c r="P8" s="36"/>
      <c r="Q8" s="39" t="s">
        <v>30</v>
      </c>
      <c r="R8" s="40">
        <v>1</v>
      </c>
      <c r="S8" s="39">
        <v>609433.96226415096</v>
      </c>
      <c r="T8" s="39">
        <v>265591.32075471699</v>
      </c>
      <c r="U8" s="39" t="s">
        <v>31</v>
      </c>
      <c r="V8" s="39" t="s">
        <v>31</v>
      </c>
      <c r="W8" s="39" t="s">
        <v>31</v>
      </c>
      <c r="X8" s="39" t="s">
        <v>31</v>
      </c>
      <c r="Y8" s="39" t="s">
        <v>31</v>
      </c>
      <c r="Z8" s="39" t="s">
        <v>31</v>
      </c>
      <c r="AA8" s="39" t="s">
        <v>31</v>
      </c>
      <c r="AB8" s="39" t="s">
        <v>31</v>
      </c>
      <c r="AC8" s="39" t="s">
        <v>68</v>
      </c>
    </row>
    <row r="9" spans="1:29" ht="16.5" x14ac:dyDescent="0.35">
      <c r="A9" s="35" t="s">
        <v>69</v>
      </c>
      <c r="B9" s="35" t="s">
        <v>37</v>
      </c>
      <c r="C9" s="12"/>
      <c r="D9" s="35" t="s">
        <v>69</v>
      </c>
      <c r="E9" s="41" t="s">
        <v>70</v>
      </c>
      <c r="F9" s="42"/>
      <c r="G9" s="42"/>
      <c r="H9" s="19"/>
      <c r="I9" s="42">
        <v>259305.63922971697</v>
      </c>
      <c r="J9" s="43"/>
      <c r="K9" s="35"/>
      <c r="L9" s="35">
        <v>10</v>
      </c>
      <c r="M9" s="35" t="s">
        <v>57</v>
      </c>
      <c r="N9" s="44">
        <v>259305.63922971697</v>
      </c>
      <c r="O9" s="35" t="s">
        <v>29</v>
      </c>
      <c r="P9" s="19"/>
      <c r="Q9" s="39"/>
      <c r="R9" s="39"/>
      <c r="S9" s="39"/>
      <c r="T9" s="39"/>
      <c r="U9" s="39"/>
      <c r="V9" s="39"/>
      <c r="W9" s="39"/>
      <c r="X9" s="39"/>
      <c r="Y9" s="39"/>
      <c r="Z9" s="39"/>
      <c r="AA9" s="39"/>
      <c r="AB9" s="39"/>
      <c r="AC9" s="39"/>
    </row>
    <row r="10" spans="1:29" ht="16.5" x14ac:dyDescent="0.15">
      <c r="A10" s="35" t="s">
        <v>36</v>
      </c>
      <c r="B10" s="35" t="s">
        <v>3</v>
      </c>
      <c r="C10" s="36"/>
      <c r="D10" s="35" t="s">
        <v>36</v>
      </c>
      <c r="E10" s="14" t="s">
        <v>38</v>
      </c>
      <c r="F10" s="16">
        <v>50000</v>
      </c>
      <c r="G10" s="16">
        <v>47169.811320754598</v>
      </c>
      <c r="H10" s="37">
        <v>0.75</v>
      </c>
      <c r="I10" s="16">
        <v>35377.358490566003</v>
      </c>
      <c r="J10" s="15"/>
      <c r="K10" s="35" t="s">
        <v>4</v>
      </c>
      <c r="L10" s="36">
        <v>11</v>
      </c>
      <c r="M10" s="36" t="s">
        <v>57</v>
      </c>
      <c r="N10" s="38">
        <v>0</v>
      </c>
      <c r="O10" s="36" t="s">
        <v>40</v>
      </c>
      <c r="P10" s="36"/>
      <c r="Q10" s="39" t="s">
        <v>41</v>
      </c>
      <c r="R10" s="40">
        <v>1</v>
      </c>
      <c r="S10" s="39">
        <v>47169.811320754598</v>
      </c>
      <c r="T10" s="39">
        <v>35377.358490566003</v>
      </c>
      <c r="U10" s="39" t="s">
        <v>31</v>
      </c>
      <c r="V10" s="39" t="s">
        <v>31</v>
      </c>
      <c r="W10" s="39" t="s">
        <v>31</v>
      </c>
      <c r="X10" s="39" t="s">
        <v>31</v>
      </c>
      <c r="Y10" s="39" t="s">
        <v>31</v>
      </c>
      <c r="Z10" s="39" t="s">
        <v>31</v>
      </c>
      <c r="AA10" s="39" t="s">
        <v>31</v>
      </c>
      <c r="AB10" s="39" t="s">
        <v>31</v>
      </c>
      <c r="AC10" s="39" t="s">
        <v>59</v>
      </c>
    </row>
    <row r="11" spans="1:29" ht="16.5" x14ac:dyDescent="0.15">
      <c r="A11" s="35" t="s">
        <v>36</v>
      </c>
      <c r="B11" s="35" t="s">
        <v>3</v>
      </c>
      <c r="C11" s="36"/>
      <c r="D11" s="35" t="s">
        <v>36</v>
      </c>
      <c r="E11" s="14" t="s">
        <v>38</v>
      </c>
      <c r="F11" s="16">
        <v>10000</v>
      </c>
      <c r="G11" s="16">
        <v>9433.9622641509395</v>
      </c>
      <c r="H11" s="37">
        <v>0.75</v>
      </c>
      <c r="I11" s="16">
        <v>7075.4716981132096</v>
      </c>
      <c r="J11" s="15"/>
      <c r="K11" s="35" t="s">
        <v>4</v>
      </c>
      <c r="L11" s="36">
        <v>11</v>
      </c>
      <c r="M11" s="36" t="s">
        <v>57</v>
      </c>
      <c r="N11" s="38">
        <v>0</v>
      </c>
      <c r="O11" s="36" t="s">
        <v>40</v>
      </c>
      <c r="P11" s="36"/>
      <c r="Q11" s="39" t="s">
        <v>41</v>
      </c>
      <c r="R11" s="40">
        <v>1</v>
      </c>
      <c r="S11" s="39">
        <v>9433.9622641509395</v>
      </c>
      <c r="T11" s="39">
        <v>7075.4716981132096</v>
      </c>
      <c r="U11" s="39" t="s">
        <v>31</v>
      </c>
      <c r="V11" s="39" t="s">
        <v>31</v>
      </c>
      <c r="W11" s="39" t="s">
        <v>31</v>
      </c>
      <c r="X11" s="39" t="s">
        <v>31</v>
      </c>
      <c r="Y11" s="39" t="s">
        <v>31</v>
      </c>
      <c r="Z11" s="39" t="s">
        <v>31</v>
      </c>
      <c r="AA11" s="39" t="s">
        <v>31</v>
      </c>
      <c r="AB11" s="39" t="s">
        <v>31</v>
      </c>
      <c r="AC11" s="39" t="s">
        <v>59</v>
      </c>
    </row>
    <row r="12" spans="1:29" ht="16.5" x14ac:dyDescent="0.15">
      <c r="A12" s="35" t="s">
        <v>71</v>
      </c>
      <c r="B12" s="35" t="s">
        <v>3</v>
      </c>
      <c r="C12" s="36"/>
      <c r="D12" s="35" t="s">
        <v>7</v>
      </c>
      <c r="E12" s="14" t="s">
        <v>72</v>
      </c>
      <c r="F12" s="16">
        <v>89000</v>
      </c>
      <c r="G12" s="16">
        <v>76068.376068376107</v>
      </c>
      <c r="H12" s="37">
        <v>5.00197191011236E-2</v>
      </c>
      <c r="I12" s="16">
        <v>3804.9188034188001</v>
      </c>
      <c r="J12" s="15"/>
      <c r="K12" s="35" t="s">
        <v>73</v>
      </c>
      <c r="L12" s="36">
        <v>11</v>
      </c>
      <c r="M12" s="36" t="s">
        <v>57</v>
      </c>
      <c r="N12" s="38">
        <v>0</v>
      </c>
      <c r="O12" s="36" t="s">
        <v>74</v>
      </c>
      <c r="P12" s="36"/>
      <c r="Q12" s="39" t="s">
        <v>75</v>
      </c>
      <c r="R12" s="40">
        <v>1</v>
      </c>
      <c r="S12" s="39">
        <v>76068.376068376107</v>
      </c>
      <c r="T12" s="39">
        <v>3804.9188034188001</v>
      </c>
      <c r="U12" s="39" t="s">
        <v>31</v>
      </c>
      <c r="V12" s="39" t="s">
        <v>31</v>
      </c>
      <c r="W12" s="39" t="s">
        <v>31</v>
      </c>
      <c r="X12" s="39" t="s">
        <v>31</v>
      </c>
      <c r="Y12" s="39" t="s">
        <v>31</v>
      </c>
      <c r="Z12" s="39" t="s">
        <v>31</v>
      </c>
      <c r="AA12" s="39" t="s">
        <v>31</v>
      </c>
      <c r="AB12" s="39" t="s">
        <v>31</v>
      </c>
      <c r="AC12" s="39" t="s">
        <v>59</v>
      </c>
    </row>
    <row r="13" spans="1:29" ht="16.5" x14ac:dyDescent="0.15">
      <c r="A13" s="35" t="s">
        <v>7</v>
      </c>
      <c r="B13" s="35" t="s">
        <v>3</v>
      </c>
      <c r="C13" s="36"/>
      <c r="D13" s="35" t="s">
        <v>7</v>
      </c>
      <c r="E13" s="14" t="s">
        <v>76</v>
      </c>
      <c r="F13" s="16">
        <v>19680</v>
      </c>
      <c r="G13" s="16">
        <v>18566.037735849099</v>
      </c>
      <c r="H13" s="37">
        <v>1</v>
      </c>
      <c r="I13" s="16">
        <v>18566.037735849099</v>
      </c>
      <c r="J13" s="15"/>
      <c r="K13" s="35" t="s">
        <v>77</v>
      </c>
      <c r="L13" s="36">
        <v>11</v>
      </c>
      <c r="M13" s="36" t="s">
        <v>64</v>
      </c>
      <c r="N13" s="38">
        <v>0</v>
      </c>
      <c r="O13" s="36" t="s">
        <v>29</v>
      </c>
      <c r="P13" s="36"/>
      <c r="Q13" s="39" t="s">
        <v>75</v>
      </c>
      <c r="R13" s="40">
        <v>1</v>
      </c>
      <c r="S13" s="39">
        <v>18566.037735849099</v>
      </c>
      <c r="T13" s="39">
        <v>18566.037735849099</v>
      </c>
      <c r="U13" s="39" t="s">
        <v>31</v>
      </c>
      <c r="V13" s="39" t="s">
        <v>31</v>
      </c>
      <c r="W13" s="39" t="s">
        <v>31</v>
      </c>
      <c r="X13" s="39" t="s">
        <v>31</v>
      </c>
      <c r="Y13" s="39" t="s">
        <v>31</v>
      </c>
      <c r="Z13" s="39" t="s">
        <v>31</v>
      </c>
      <c r="AA13" s="39" t="s">
        <v>31</v>
      </c>
      <c r="AB13" s="39" t="s">
        <v>31</v>
      </c>
      <c r="AC13" s="39" t="s">
        <v>59</v>
      </c>
    </row>
    <row r="14" spans="1:29" ht="16.5" x14ac:dyDescent="0.15">
      <c r="A14" s="35" t="s">
        <v>71</v>
      </c>
      <c r="B14" s="35" t="s">
        <v>78</v>
      </c>
      <c r="C14" s="36"/>
      <c r="D14" s="35" t="s">
        <v>7</v>
      </c>
      <c r="E14" s="14" t="s">
        <v>79</v>
      </c>
      <c r="F14" s="16">
        <v>90000</v>
      </c>
      <c r="G14" s="16">
        <v>84905.660377358479</v>
      </c>
      <c r="H14" s="37">
        <v>1</v>
      </c>
      <c r="I14" s="16">
        <v>84905.660377358479</v>
      </c>
      <c r="J14" s="15"/>
      <c r="K14" s="35" t="s">
        <v>80</v>
      </c>
      <c r="L14" s="36">
        <v>12</v>
      </c>
      <c r="M14" s="36" t="s">
        <v>57</v>
      </c>
      <c r="N14" s="38">
        <v>0</v>
      </c>
      <c r="O14" s="36" t="s">
        <v>74</v>
      </c>
      <c r="P14" s="36"/>
      <c r="Q14" s="39" t="s">
        <v>81</v>
      </c>
      <c r="R14" s="40">
        <v>1</v>
      </c>
      <c r="S14" s="45">
        <f>G14</f>
        <v>84905.660377358479</v>
      </c>
      <c r="T14" s="45">
        <f>I14</f>
        <v>84905.660377358479</v>
      </c>
      <c r="U14" s="45">
        <v>0</v>
      </c>
      <c r="V14" s="40">
        <v>1</v>
      </c>
      <c r="W14" s="45">
        <f>U14</f>
        <v>0</v>
      </c>
      <c r="X14" s="45">
        <f>W14</f>
        <v>0</v>
      </c>
      <c r="Y14" s="39">
        <v>0</v>
      </c>
      <c r="Z14" s="39">
        <v>0</v>
      </c>
      <c r="AA14" s="39">
        <v>0</v>
      </c>
      <c r="AB14" s="39">
        <v>0</v>
      </c>
      <c r="AC14" s="39">
        <v>0</v>
      </c>
    </row>
    <row r="15" spans="1:29" ht="16.5" x14ac:dyDescent="0.15">
      <c r="A15" s="35" t="s">
        <v>71</v>
      </c>
      <c r="B15" s="35" t="s">
        <v>78</v>
      </c>
      <c r="C15" s="36"/>
      <c r="D15" s="35" t="s">
        <v>7</v>
      </c>
      <c r="E15" s="14" t="s">
        <v>82</v>
      </c>
      <c r="F15" s="16">
        <v>97272</v>
      </c>
      <c r="G15" s="16">
        <v>91766.037735849051</v>
      </c>
      <c r="H15" s="37">
        <v>0.68889999999999996</v>
      </c>
      <c r="I15" s="16">
        <v>63217.623396226409</v>
      </c>
      <c r="J15" s="15"/>
      <c r="K15" s="35" t="s">
        <v>80</v>
      </c>
      <c r="L15" s="36">
        <v>12</v>
      </c>
      <c r="M15" s="36" t="s">
        <v>64</v>
      </c>
      <c r="N15" s="38">
        <v>0</v>
      </c>
      <c r="O15" s="36" t="s">
        <v>74</v>
      </c>
      <c r="P15" s="36"/>
      <c r="Q15" s="39" t="s">
        <v>81</v>
      </c>
      <c r="R15" s="40">
        <v>1</v>
      </c>
      <c r="S15" s="45">
        <f>G15</f>
        <v>91766.037735849051</v>
      </c>
      <c r="T15" s="45">
        <f>I15</f>
        <v>63217.623396226409</v>
      </c>
      <c r="U15" s="45">
        <v>0</v>
      </c>
      <c r="V15" s="40">
        <v>1</v>
      </c>
      <c r="W15" s="45">
        <f>U15</f>
        <v>0</v>
      </c>
      <c r="X15" s="45">
        <v>0</v>
      </c>
      <c r="Y15" s="39">
        <v>0</v>
      </c>
      <c r="Z15" s="39">
        <v>0</v>
      </c>
      <c r="AA15" s="39">
        <v>0</v>
      </c>
      <c r="AB15" s="39">
        <v>0</v>
      </c>
      <c r="AC15" s="39">
        <v>0</v>
      </c>
    </row>
    <row r="16" spans="1:29" ht="16.5" x14ac:dyDescent="0.35">
      <c r="A16" s="35" t="s">
        <v>69</v>
      </c>
      <c r="B16" s="35" t="s">
        <v>83</v>
      </c>
      <c r="C16" s="12"/>
      <c r="D16" s="35" t="s">
        <v>69</v>
      </c>
      <c r="E16" s="41" t="s">
        <v>70</v>
      </c>
      <c r="F16" s="42"/>
      <c r="G16" s="42"/>
      <c r="H16" s="19"/>
      <c r="I16" s="42">
        <v>64978.883002741502</v>
      </c>
      <c r="J16" s="43"/>
      <c r="K16" s="35"/>
      <c r="L16" s="35">
        <v>10</v>
      </c>
      <c r="M16" s="35" t="s">
        <v>57</v>
      </c>
      <c r="N16" s="44">
        <v>64978.883002741502</v>
      </c>
      <c r="O16" s="35" t="s">
        <v>29</v>
      </c>
      <c r="P16" s="19"/>
      <c r="Q16" s="46" t="s">
        <v>81</v>
      </c>
      <c r="R16" s="40">
        <v>1</v>
      </c>
      <c r="S16" s="46">
        <f>I16</f>
        <v>64978.883002741502</v>
      </c>
      <c r="T16" s="46">
        <f>S16</f>
        <v>64978.883002741502</v>
      </c>
      <c r="U16" s="46"/>
      <c r="V16" s="39"/>
      <c r="W16" s="39"/>
      <c r="X16" s="39"/>
      <c r="Y16" s="39"/>
      <c r="Z16" s="39"/>
      <c r="AA16" s="39"/>
      <c r="AB16" s="39"/>
      <c r="AC16" s="39"/>
    </row>
    <row r="17" spans="1:29" ht="16.5" x14ac:dyDescent="0.15">
      <c r="A17" s="35" t="s">
        <v>71</v>
      </c>
      <c r="B17" s="35" t="s">
        <v>85</v>
      </c>
      <c r="C17" s="36"/>
      <c r="D17" s="35" t="s">
        <v>7</v>
      </c>
      <c r="E17" s="14" t="s">
        <v>99</v>
      </c>
      <c r="F17" s="16">
        <v>3420735</v>
      </c>
      <c r="G17" s="16">
        <v>2923705.1282051285</v>
      </c>
      <c r="H17" s="37">
        <v>0.15959999999999999</v>
      </c>
      <c r="I17" s="16">
        <v>466623.33846153849</v>
      </c>
      <c r="J17" s="15"/>
      <c r="K17" s="35" t="s">
        <v>100</v>
      </c>
      <c r="L17" s="36">
        <v>12</v>
      </c>
      <c r="M17" s="36" t="s">
        <v>57</v>
      </c>
      <c r="N17" s="38">
        <v>0</v>
      </c>
      <c r="O17" s="36" t="s">
        <v>74</v>
      </c>
      <c r="P17" s="36"/>
      <c r="Q17" s="39" t="s">
        <v>100</v>
      </c>
      <c r="R17" s="40">
        <v>1</v>
      </c>
      <c r="S17" s="39">
        <v>0</v>
      </c>
      <c r="T17" s="39">
        <v>0</v>
      </c>
      <c r="U17" s="39">
        <v>0</v>
      </c>
      <c r="V17" s="40">
        <v>0</v>
      </c>
      <c r="W17" s="39">
        <v>0</v>
      </c>
      <c r="X17" s="39">
        <v>0</v>
      </c>
      <c r="Y17" s="39">
        <v>0</v>
      </c>
      <c r="Z17" s="39">
        <v>0</v>
      </c>
      <c r="AA17" s="39">
        <v>0</v>
      </c>
      <c r="AB17" s="39">
        <v>0</v>
      </c>
      <c r="AC17" s="39">
        <v>0</v>
      </c>
    </row>
    <row r="18" spans="1:29" ht="16.5" x14ac:dyDescent="0.15">
      <c r="A18" s="35" t="s">
        <v>102</v>
      </c>
      <c r="B18" s="35" t="s">
        <v>85</v>
      </c>
      <c r="C18" s="36"/>
      <c r="D18" s="35" t="s">
        <v>102</v>
      </c>
      <c r="E18" s="14" t="s">
        <v>103</v>
      </c>
      <c r="F18" s="16">
        <v>900000</v>
      </c>
      <c r="G18" s="16">
        <v>849056.60377358482</v>
      </c>
      <c r="H18" s="37">
        <v>0.9</v>
      </c>
      <c r="I18" s="16">
        <v>764150.94339622639</v>
      </c>
      <c r="J18" s="15"/>
      <c r="K18" s="35" t="s">
        <v>104</v>
      </c>
      <c r="L18" s="36">
        <v>12</v>
      </c>
      <c r="M18" s="36" t="s">
        <v>57</v>
      </c>
      <c r="N18" s="38">
        <v>0</v>
      </c>
      <c r="O18" s="36" t="s">
        <v>105</v>
      </c>
      <c r="P18" s="36"/>
      <c r="Q18" s="39" t="s">
        <v>104</v>
      </c>
      <c r="R18" s="40">
        <v>1</v>
      </c>
      <c r="S18" s="39">
        <v>0</v>
      </c>
      <c r="T18" s="39">
        <v>0</v>
      </c>
      <c r="U18" s="39">
        <v>0</v>
      </c>
      <c r="V18" s="40">
        <v>0</v>
      </c>
      <c r="W18" s="39">
        <v>0</v>
      </c>
      <c r="X18" s="39">
        <v>0</v>
      </c>
      <c r="Y18" s="39">
        <v>0</v>
      </c>
      <c r="Z18" s="39">
        <v>0</v>
      </c>
      <c r="AA18" s="39">
        <v>0</v>
      </c>
      <c r="AB18" s="39">
        <v>0</v>
      </c>
      <c r="AC18" s="39">
        <v>0</v>
      </c>
    </row>
    <row r="19" spans="1:29" ht="16.5" x14ac:dyDescent="0.15">
      <c r="A19" s="35" t="s">
        <v>71</v>
      </c>
      <c r="B19" s="35" t="s">
        <v>85</v>
      </c>
      <c r="C19" s="36"/>
      <c r="D19" s="35" t="s">
        <v>7</v>
      </c>
      <c r="E19" s="14" t="s">
        <v>106</v>
      </c>
      <c r="F19" s="16">
        <v>362325</v>
      </c>
      <c r="G19" s="16">
        <v>309679.48717948719</v>
      </c>
      <c r="H19" s="37">
        <v>3.7499999999999999E-2</v>
      </c>
      <c r="I19" s="16">
        <v>11612.98076923077</v>
      </c>
      <c r="J19" s="15"/>
      <c r="K19" s="35" t="s">
        <v>107</v>
      </c>
      <c r="L19" s="36">
        <v>12</v>
      </c>
      <c r="M19" s="36" t="s">
        <v>57</v>
      </c>
      <c r="N19" s="38">
        <v>0</v>
      </c>
      <c r="O19" s="36" t="s">
        <v>74</v>
      </c>
      <c r="P19" s="36"/>
      <c r="Q19" s="39" t="s">
        <v>107</v>
      </c>
      <c r="R19" s="40">
        <v>1</v>
      </c>
      <c r="S19" s="39">
        <v>0</v>
      </c>
      <c r="T19" s="39">
        <v>0</v>
      </c>
      <c r="U19" s="39">
        <v>0</v>
      </c>
      <c r="V19" s="40">
        <v>0</v>
      </c>
      <c r="W19" s="39">
        <v>0</v>
      </c>
      <c r="X19" s="39">
        <v>0</v>
      </c>
      <c r="Y19" s="39">
        <v>0</v>
      </c>
      <c r="Z19" s="39">
        <v>0</v>
      </c>
      <c r="AA19" s="39">
        <v>0</v>
      </c>
      <c r="AB19" s="39">
        <v>0</v>
      </c>
      <c r="AC19" s="39" t="s">
        <v>108</v>
      </c>
    </row>
    <row r="20" spans="1:29" ht="16.5" x14ac:dyDescent="0.15">
      <c r="A20" s="35" t="s">
        <v>7</v>
      </c>
      <c r="B20" s="35" t="s">
        <v>85</v>
      </c>
      <c r="C20" s="36"/>
      <c r="D20" s="35" t="s">
        <v>7</v>
      </c>
      <c r="E20" s="14" t="s">
        <v>90</v>
      </c>
      <c r="F20" s="16">
        <v>840000</v>
      </c>
      <c r="G20" s="16">
        <v>792452.83018867916</v>
      </c>
      <c r="H20" s="37">
        <v>7.7000000000000002E-3</v>
      </c>
      <c r="I20" s="16">
        <v>6101.8867924528295</v>
      </c>
      <c r="J20" s="15"/>
      <c r="K20" s="35" t="s">
        <v>91</v>
      </c>
      <c r="L20" s="36">
        <v>12</v>
      </c>
      <c r="M20" s="36" t="s">
        <v>64</v>
      </c>
      <c r="N20" s="38">
        <v>0</v>
      </c>
      <c r="O20" s="36" t="s">
        <v>29</v>
      </c>
      <c r="P20" s="36"/>
      <c r="Q20" s="39" t="s">
        <v>93</v>
      </c>
      <c r="R20" s="40">
        <v>1</v>
      </c>
      <c r="S20" s="39">
        <v>0</v>
      </c>
      <c r="T20" s="39">
        <v>0</v>
      </c>
      <c r="U20" s="39">
        <v>0</v>
      </c>
      <c r="V20" s="40">
        <v>0</v>
      </c>
      <c r="W20" s="39">
        <v>0</v>
      </c>
      <c r="X20" s="39">
        <v>0</v>
      </c>
      <c r="Y20" s="39">
        <v>0</v>
      </c>
      <c r="Z20" s="39">
        <v>0</v>
      </c>
      <c r="AA20" s="39">
        <v>0</v>
      </c>
      <c r="AB20" s="39">
        <v>0</v>
      </c>
      <c r="AC20" s="39" t="s">
        <v>35</v>
      </c>
    </row>
    <row r="21" spans="1:29" ht="16.5" x14ac:dyDescent="0.15">
      <c r="A21" s="35" t="s">
        <v>71</v>
      </c>
      <c r="B21" s="35" t="s">
        <v>85</v>
      </c>
      <c r="C21" s="36"/>
      <c r="D21" s="35" t="s">
        <v>7</v>
      </c>
      <c r="E21" s="14" t="s">
        <v>99</v>
      </c>
      <c r="F21" s="16">
        <v>0.5</v>
      </c>
      <c r="G21" s="16">
        <v>0.42735042735042739</v>
      </c>
      <c r="H21" s="37">
        <v>0.15959999999999999</v>
      </c>
      <c r="I21" s="16">
        <v>6.820512820512821E-2</v>
      </c>
      <c r="J21" s="15"/>
      <c r="K21" s="35" t="s">
        <v>100</v>
      </c>
      <c r="L21" s="36">
        <v>12</v>
      </c>
      <c r="M21" s="36" t="s">
        <v>57</v>
      </c>
      <c r="N21" s="38">
        <v>0</v>
      </c>
      <c r="O21" s="36" t="s">
        <v>74</v>
      </c>
      <c r="P21" s="36"/>
      <c r="Q21" s="39" t="s">
        <v>100</v>
      </c>
      <c r="R21" s="40">
        <v>1</v>
      </c>
      <c r="S21" s="39">
        <v>0</v>
      </c>
      <c r="T21" s="39">
        <v>0</v>
      </c>
      <c r="U21" s="39">
        <v>0</v>
      </c>
      <c r="V21" s="40">
        <v>0</v>
      </c>
      <c r="W21" s="39">
        <v>0</v>
      </c>
      <c r="X21" s="39">
        <v>0</v>
      </c>
      <c r="Y21" s="39">
        <v>0</v>
      </c>
      <c r="Z21" s="39">
        <v>0</v>
      </c>
      <c r="AA21" s="39">
        <v>0</v>
      </c>
      <c r="AB21" s="39">
        <v>0</v>
      </c>
      <c r="AC21" s="39">
        <v>0</v>
      </c>
    </row>
    <row r="22" spans="1:29" ht="16.5" x14ac:dyDescent="0.15">
      <c r="A22" s="35" t="s">
        <v>7</v>
      </c>
      <c r="B22" s="35" t="s">
        <v>85</v>
      </c>
      <c r="C22" s="36"/>
      <c r="D22" s="35" t="s">
        <v>7</v>
      </c>
      <c r="E22" s="14" t="s">
        <v>109</v>
      </c>
      <c r="F22" s="16">
        <v>132780</v>
      </c>
      <c r="G22" s="16">
        <v>125264.15094339622</v>
      </c>
      <c r="H22" s="37">
        <v>0.1933021539594445</v>
      </c>
      <c r="I22" s="16">
        <v>24213.830191259472</v>
      </c>
      <c r="J22" s="15"/>
      <c r="K22" s="35">
        <v>0</v>
      </c>
      <c r="L22" s="36">
        <v>12</v>
      </c>
      <c r="M22" s="36" t="s">
        <v>57</v>
      </c>
      <c r="N22" s="38">
        <v>0</v>
      </c>
      <c r="O22" s="36" t="s">
        <v>29</v>
      </c>
      <c r="P22" s="36"/>
      <c r="Q22" s="39" t="s">
        <v>110</v>
      </c>
      <c r="R22" s="40">
        <v>1</v>
      </c>
      <c r="S22" s="39">
        <v>0</v>
      </c>
      <c r="T22" s="39">
        <v>0</v>
      </c>
      <c r="U22" s="39">
        <v>0</v>
      </c>
      <c r="V22" s="40">
        <v>0</v>
      </c>
      <c r="W22" s="39">
        <v>0</v>
      </c>
      <c r="X22" s="39">
        <v>0</v>
      </c>
      <c r="Y22" s="39">
        <v>0</v>
      </c>
      <c r="Z22" s="39">
        <v>0</v>
      </c>
      <c r="AA22" s="39">
        <v>0</v>
      </c>
      <c r="AB22" s="39">
        <v>0</v>
      </c>
      <c r="AC22" s="39">
        <v>0</v>
      </c>
    </row>
    <row r="23" spans="1:29" ht="16.5" x14ac:dyDescent="0.15">
      <c r="A23" s="35" t="s">
        <v>71</v>
      </c>
      <c r="B23" s="35" t="s">
        <v>85</v>
      </c>
      <c r="C23" s="36"/>
      <c r="D23" s="35" t="s">
        <v>7</v>
      </c>
      <c r="E23" s="14" t="s">
        <v>111</v>
      </c>
      <c r="F23" s="16">
        <v>245000</v>
      </c>
      <c r="G23" s="16">
        <v>209401.70940170941</v>
      </c>
      <c r="H23" s="37">
        <v>0.10758306122448977</v>
      </c>
      <c r="I23" s="16">
        <v>22528.076923076918</v>
      </c>
      <c r="J23" s="15"/>
      <c r="K23" s="35" t="s">
        <v>96</v>
      </c>
      <c r="L23" s="36">
        <v>12</v>
      </c>
      <c r="M23" s="36" t="s">
        <v>64</v>
      </c>
      <c r="N23" s="38">
        <v>0</v>
      </c>
      <c r="O23" s="36" t="s">
        <v>74</v>
      </c>
      <c r="P23" s="36"/>
      <c r="Q23" s="39" t="s">
        <v>112</v>
      </c>
      <c r="R23" s="40">
        <v>1</v>
      </c>
      <c r="S23" s="39">
        <v>0</v>
      </c>
      <c r="T23" s="39">
        <v>0</v>
      </c>
      <c r="U23" s="39">
        <v>0</v>
      </c>
      <c r="V23" s="40">
        <v>0</v>
      </c>
      <c r="W23" s="39">
        <v>0</v>
      </c>
      <c r="X23" s="39">
        <v>0</v>
      </c>
      <c r="Y23" s="39">
        <v>0</v>
      </c>
      <c r="Z23" s="39">
        <v>0</v>
      </c>
      <c r="AA23" s="39">
        <v>0</v>
      </c>
      <c r="AB23" s="39">
        <v>0</v>
      </c>
      <c r="AC23" s="39">
        <v>0</v>
      </c>
    </row>
    <row r="24" spans="1:29" ht="16.5" x14ac:dyDescent="0.15">
      <c r="A24" s="35" t="s">
        <v>102</v>
      </c>
      <c r="B24" s="35" t="s">
        <v>85</v>
      </c>
      <c r="C24" s="36"/>
      <c r="D24" s="35" t="s">
        <v>102</v>
      </c>
      <c r="E24" s="14" t="s">
        <v>84</v>
      </c>
      <c r="F24" s="16">
        <v>1642500</v>
      </c>
      <c r="G24" s="16">
        <v>1549528.3018867923</v>
      </c>
      <c r="H24" s="37">
        <v>0.5</v>
      </c>
      <c r="I24" s="16">
        <v>774764.15094339615</v>
      </c>
      <c r="J24" s="15"/>
      <c r="K24" s="35" t="s">
        <v>86</v>
      </c>
      <c r="L24" s="36">
        <v>12</v>
      </c>
      <c r="M24" s="36" t="s">
        <v>57</v>
      </c>
      <c r="N24" s="38">
        <v>0</v>
      </c>
      <c r="O24" s="36" t="s">
        <v>105</v>
      </c>
      <c r="P24" s="36"/>
      <c r="Q24" s="39" t="s">
        <v>86</v>
      </c>
      <c r="R24" s="40">
        <v>0.5</v>
      </c>
      <c r="S24" s="39">
        <v>0</v>
      </c>
      <c r="T24" s="39">
        <v>0</v>
      </c>
      <c r="U24" s="39" t="s">
        <v>113</v>
      </c>
      <c r="V24" s="40">
        <v>0.5</v>
      </c>
      <c r="W24" s="39">
        <v>0</v>
      </c>
      <c r="X24" s="39">
        <v>0</v>
      </c>
      <c r="Y24" s="39">
        <v>0</v>
      </c>
      <c r="Z24" s="39">
        <v>0</v>
      </c>
      <c r="AA24" s="39">
        <v>0</v>
      </c>
      <c r="AB24" s="39">
        <v>0</v>
      </c>
      <c r="AC24" s="39" t="s">
        <v>35</v>
      </c>
    </row>
    <row r="25" spans="1:29" ht="16.5" x14ac:dyDescent="0.15">
      <c r="A25" s="35" t="s">
        <v>102</v>
      </c>
      <c r="B25" s="35" t="s">
        <v>85</v>
      </c>
      <c r="C25" s="36"/>
      <c r="D25" s="35" t="s">
        <v>102</v>
      </c>
      <c r="E25" s="14" t="s">
        <v>114</v>
      </c>
      <c r="F25" s="16">
        <v>218500</v>
      </c>
      <c r="G25" s="16">
        <v>206132.0754716981</v>
      </c>
      <c r="H25" s="37">
        <v>0.65680000000000005</v>
      </c>
      <c r="I25" s="16">
        <v>135387.54716981133</v>
      </c>
      <c r="J25" s="15"/>
      <c r="K25" s="35" t="s">
        <v>115</v>
      </c>
      <c r="L25" s="36">
        <v>12</v>
      </c>
      <c r="M25" s="36" t="s">
        <v>57</v>
      </c>
      <c r="N25" s="38">
        <v>0</v>
      </c>
      <c r="O25" s="36" t="s">
        <v>105</v>
      </c>
      <c r="P25" s="36"/>
      <c r="Q25" s="39" t="s">
        <v>115</v>
      </c>
      <c r="R25" s="40">
        <v>1</v>
      </c>
      <c r="S25" s="39">
        <v>0</v>
      </c>
      <c r="T25" s="39">
        <v>0</v>
      </c>
      <c r="U25" s="39">
        <v>0</v>
      </c>
      <c r="V25" s="40">
        <v>0</v>
      </c>
      <c r="W25" s="39">
        <v>0</v>
      </c>
      <c r="X25" s="39">
        <v>0</v>
      </c>
      <c r="Y25" s="39">
        <v>0</v>
      </c>
      <c r="Z25" s="39">
        <v>0</v>
      </c>
      <c r="AA25" s="39">
        <v>0</v>
      </c>
      <c r="AB25" s="39">
        <v>0</v>
      </c>
      <c r="AC25" s="39">
        <v>0</v>
      </c>
    </row>
    <row r="26" spans="1:29" ht="16.5" x14ac:dyDescent="0.35">
      <c r="A26" s="35" t="s">
        <v>71</v>
      </c>
      <c r="B26" s="35" t="s">
        <v>85</v>
      </c>
      <c r="C26" s="12"/>
      <c r="D26" s="35" t="s">
        <v>7</v>
      </c>
      <c r="E26" s="41" t="s">
        <v>116</v>
      </c>
      <c r="F26" s="42">
        <v>58800</v>
      </c>
      <c r="G26" s="42">
        <v>55471.698113207545</v>
      </c>
      <c r="H26" s="19">
        <v>0.5</v>
      </c>
      <c r="I26" s="42">
        <v>27735.849056603773</v>
      </c>
      <c r="J26" s="43"/>
      <c r="K26" s="35" t="s">
        <v>117</v>
      </c>
      <c r="L26" s="35">
        <v>10</v>
      </c>
      <c r="M26" s="35" t="s">
        <v>118</v>
      </c>
      <c r="N26" s="44"/>
      <c r="O26" s="35" t="s">
        <v>74</v>
      </c>
      <c r="P26" s="19" t="s">
        <v>119</v>
      </c>
      <c r="Q26" s="39" t="s">
        <v>117</v>
      </c>
      <c r="R26" s="40">
        <v>1</v>
      </c>
      <c r="S26" s="39"/>
      <c r="T26" s="39"/>
      <c r="U26" s="39"/>
      <c r="V26" s="39"/>
      <c r="W26" s="39"/>
      <c r="X26" s="39"/>
      <c r="Y26" s="39"/>
      <c r="Z26" s="39"/>
      <c r="AA26" s="39"/>
      <c r="AB26" s="39"/>
      <c r="AC26" s="39"/>
    </row>
    <row r="27" spans="1:29" ht="16.5" x14ac:dyDescent="0.15">
      <c r="A27" s="35" t="s">
        <v>71</v>
      </c>
      <c r="B27" s="35" t="s">
        <v>98</v>
      </c>
      <c r="C27" s="36"/>
      <c r="D27" s="35" t="s">
        <v>7</v>
      </c>
      <c r="E27" s="14" t="s">
        <v>120</v>
      </c>
      <c r="F27" s="16">
        <v>102450</v>
      </c>
      <c r="G27" s="16">
        <v>87564.102564102563</v>
      </c>
      <c r="H27" s="37">
        <v>3.7499999999999992E-2</v>
      </c>
      <c r="I27" s="16">
        <v>3283.6538461538453</v>
      </c>
      <c r="J27" s="15"/>
      <c r="K27" s="35" t="s">
        <v>107</v>
      </c>
      <c r="L27" s="36">
        <v>11</v>
      </c>
      <c r="M27" s="36" t="s">
        <v>57</v>
      </c>
      <c r="N27" s="38">
        <v>0</v>
      </c>
      <c r="O27" s="36" t="s">
        <v>74</v>
      </c>
      <c r="P27" s="36"/>
      <c r="Q27" s="39" t="s">
        <v>107</v>
      </c>
      <c r="R27" s="40">
        <v>1</v>
      </c>
      <c r="S27" s="39"/>
      <c r="T27" s="39"/>
      <c r="U27" s="39"/>
      <c r="V27" s="39"/>
      <c r="W27" s="39"/>
      <c r="X27" s="39"/>
      <c r="Y27" s="39"/>
      <c r="Z27" s="39"/>
      <c r="AA27" s="39"/>
      <c r="AB27" s="39"/>
      <c r="AC27" s="39"/>
    </row>
    <row r="28" spans="1:29" ht="16.5" x14ac:dyDescent="0.15">
      <c r="A28" s="35" t="s">
        <v>71</v>
      </c>
      <c r="B28" s="35" t="s">
        <v>98</v>
      </c>
      <c r="C28" s="36"/>
      <c r="D28" s="35" t="s">
        <v>7</v>
      </c>
      <c r="E28" s="14" t="s">
        <v>121</v>
      </c>
      <c r="F28" s="16">
        <v>669564</v>
      </c>
      <c r="G28" s="16">
        <v>572276.92307692312</v>
      </c>
      <c r="H28" s="37">
        <v>3.7499999999999999E-2</v>
      </c>
      <c r="I28" s="16">
        <v>21460.384615384617</v>
      </c>
      <c r="J28" s="15"/>
      <c r="K28" s="35" t="s">
        <v>107</v>
      </c>
      <c r="L28" s="36">
        <v>11</v>
      </c>
      <c r="M28" s="36" t="s">
        <v>64</v>
      </c>
      <c r="N28" s="38">
        <v>0</v>
      </c>
      <c r="O28" s="36" t="s">
        <v>74</v>
      </c>
      <c r="P28" s="36"/>
      <c r="Q28" s="39" t="s">
        <v>107</v>
      </c>
      <c r="R28" s="40">
        <v>1</v>
      </c>
      <c r="S28" s="39"/>
      <c r="T28" s="39"/>
      <c r="U28" s="39"/>
      <c r="V28" s="39"/>
      <c r="W28" s="39"/>
      <c r="X28" s="39"/>
      <c r="Y28" s="39"/>
      <c r="Z28" s="39"/>
      <c r="AA28" s="39"/>
      <c r="AB28" s="39"/>
      <c r="AC28" s="39"/>
    </row>
    <row r="29" spans="1:29" ht="16.5" x14ac:dyDescent="0.15">
      <c r="A29" s="35" t="s">
        <v>71</v>
      </c>
      <c r="B29" s="35" t="s">
        <v>98</v>
      </c>
      <c r="C29" s="48"/>
      <c r="D29" s="49" t="s">
        <v>7</v>
      </c>
      <c r="E29" s="14" t="s">
        <v>95</v>
      </c>
      <c r="F29" s="16">
        <v>5242333.33</v>
      </c>
      <c r="G29" s="16">
        <v>4480626.777777778</v>
      </c>
      <c r="H29" s="37">
        <v>6.0299616621287987E-2</v>
      </c>
      <c r="I29" s="16">
        <v>270180.07692307694</v>
      </c>
      <c r="J29" s="50"/>
      <c r="K29" s="35" t="s">
        <v>96</v>
      </c>
      <c r="L29" s="36">
        <v>11</v>
      </c>
      <c r="M29" s="36" t="s">
        <v>57</v>
      </c>
      <c r="N29" s="38">
        <v>0</v>
      </c>
      <c r="O29" s="36" t="s">
        <v>74</v>
      </c>
      <c r="P29" s="48"/>
      <c r="Q29" s="39" t="s">
        <v>96</v>
      </c>
      <c r="R29" s="40">
        <v>1</v>
      </c>
      <c r="S29" s="39"/>
      <c r="T29" s="39"/>
      <c r="U29" s="39"/>
      <c r="V29" s="39"/>
      <c r="W29" s="39"/>
      <c r="X29" s="39"/>
      <c r="Y29" s="39"/>
      <c r="Z29" s="39"/>
      <c r="AA29" s="39"/>
      <c r="AB29" s="39"/>
      <c r="AC29" s="39"/>
    </row>
    <row r="30" spans="1:29" ht="16.5" x14ac:dyDescent="0.15">
      <c r="A30" s="35" t="s">
        <v>71</v>
      </c>
      <c r="B30" s="35" t="s">
        <v>98</v>
      </c>
      <c r="C30" s="48"/>
      <c r="D30" s="49" t="s">
        <v>7</v>
      </c>
      <c r="E30" s="14" t="s">
        <v>99</v>
      </c>
      <c r="F30" s="16">
        <v>-1466029.5</v>
      </c>
      <c r="G30" s="16">
        <v>-1253016.66666667</v>
      </c>
      <c r="H30" s="37">
        <v>0.10410074558526959</v>
      </c>
      <c r="I30" s="16">
        <v>-130439.96923076957</v>
      </c>
      <c r="J30" s="50"/>
      <c r="K30" s="35" t="s">
        <v>100</v>
      </c>
      <c r="L30" s="36">
        <v>11</v>
      </c>
      <c r="M30" s="36" t="s">
        <v>57</v>
      </c>
      <c r="N30" s="38">
        <v>0</v>
      </c>
      <c r="O30" s="36" t="s">
        <v>74</v>
      </c>
      <c r="P30" s="48"/>
      <c r="Q30" s="39" t="s">
        <v>100</v>
      </c>
      <c r="R30" s="40">
        <v>1</v>
      </c>
      <c r="S30" s="39"/>
      <c r="T30" s="39"/>
      <c r="U30" s="39"/>
      <c r="V30" s="39"/>
      <c r="W30" s="39"/>
      <c r="X30" s="39"/>
      <c r="Y30" s="39"/>
      <c r="Z30" s="39"/>
      <c r="AA30" s="39"/>
      <c r="AB30" s="39"/>
      <c r="AC30" s="39"/>
    </row>
    <row r="31" spans="1:29" ht="16.5" x14ac:dyDescent="0.15">
      <c r="A31" s="35" t="s">
        <v>71</v>
      </c>
      <c r="B31" s="35" t="s">
        <v>98</v>
      </c>
      <c r="C31" s="48"/>
      <c r="D31" s="49" t="s">
        <v>7</v>
      </c>
      <c r="E31" s="14" t="s">
        <v>99</v>
      </c>
      <c r="F31" s="16">
        <v>1466029.5</v>
      </c>
      <c r="G31" s="16">
        <v>1253016.6666666667</v>
      </c>
      <c r="H31" s="37">
        <v>0.15959999999999999</v>
      </c>
      <c r="I31" s="16">
        <v>199981.46</v>
      </c>
      <c r="J31" s="50"/>
      <c r="K31" s="35" t="s">
        <v>100</v>
      </c>
      <c r="L31" s="36">
        <v>11</v>
      </c>
      <c r="M31" s="36" t="s">
        <v>57</v>
      </c>
      <c r="N31" s="38">
        <v>0</v>
      </c>
      <c r="O31" s="36" t="s">
        <v>74</v>
      </c>
      <c r="P31" s="48"/>
      <c r="Q31" s="39" t="s">
        <v>100</v>
      </c>
      <c r="R31" s="40">
        <v>1</v>
      </c>
      <c r="S31" s="39"/>
      <c r="T31" s="39"/>
      <c r="U31" s="39"/>
      <c r="V31" s="39"/>
      <c r="W31" s="39"/>
      <c r="X31" s="39"/>
      <c r="Y31" s="39"/>
      <c r="Z31" s="39"/>
      <c r="AA31" s="39"/>
      <c r="AB31" s="39"/>
      <c r="AC31" s="39"/>
    </row>
    <row r="32" spans="1:29" ht="16.5" x14ac:dyDescent="0.15">
      <c r="A32" s="35" t="s">
        <v>71</v>
      </c>
      <c r="B32" s="35" t="s">
        <v>98</v>
      </c>
      <c r="C32" s="48"/>
      <c r="D32" s="49" t="s">
        <v>7</v>
      </c>
      <c r="E32" s="14" t="s">
        <v>122</v>
      </c>
      <c r="F32" s="16">
        <v>180580.9</v>
      </c>
      <c r="G32" s="16">
        <v>162685.49549549547</v>
      </c>
      <c r="H32" s="37">
        <v>0.38040000000000002</v>
      </c>
      <c r="I32" s="16">
        <v>61885.56248648648</v>
      </c>
      <c r="J32" s="50"/>
      <c r="K32" s="35" t="s">
        <v>88</v>
      </c>
      <c r="L32" s="36">
        <v>11</v>
      </c>
      <c r="M32" s="36" t="s">
        <v>57</v>
      </c>
      <c r="N32" s="38">
        <v>0</v>
      </c>
      <c r="O32" s="36" t="s">
        <v>74</v>
      </c>
      <c r="P32" s="48"/>
      <c r="Q32" s="39" t="s">
        <v>88</v>
      </c>
      <c r="R32" s="40">
        <v>1</v>
      </c>
      <c r="S32" s="39"/>
      <c r="T32" s="39"/>
      <c r="U32" s="39"/>
      <c r="V32" s="39"/>
      <c r="W32" s="39"/>
      <c r="X32" s="39"/>
      <c r="Y32" s="39"/>
      <c r="Z32" s="39"/>
      <c r="AA32" s="39"/>
      <c r="AB32" s="39"/>
      <c r="AC32" s="39"/>
    </row>
    <row r="33" spans="1:29" ht="16.5" x14ac:dyDescent="0.15">
      <c r="A33" s="35" t="s">
        <v>71</v>
      </c>
      <c r="B33" s="35" t="s">
        <v>123</v>
      </c>
      <c r="C33" s="36"/>
      <c r="D33" s="35" t="s">
        <v>7</v>
      </c>
      <c r="E33" s="14" t="s">
        <v>154</v>
      </c>
      <c r="F33" s="16">
        <v>126000</v>
      </c>
      <c r="G33" s="16">
        <v>118867.92452830188</v>
      </c>
      <c r="H33" s="37">
        <v>0.7</v>
      </c>
      <c r="I33" s="16">
        <v>83207.547169811311</v>
      </c>
      <c r="J33" s="15"/>
      <c r="K33" s="35" t="s">
        <v>142</v>
      </c>
      <c r="L33" s="36">
        <v>12</v>
      </c>
      <c r="M33" s="36" t="s">
        <v>57</v>
      </c>
      <c r="N33" s="38">
        <v>0</v>
      </c>
      <c r="O33" s="36" t="s">
        <v>74</v>
      </c>
      <c r="P33" s="36"/>
      <c r="Q33" s="59" t="s">
        <v>142</v>
      </c>
      <c r="R33" s="40">
        <v>1</v>
      </c>
      <c r="S33" s="60">
        <v>118867.92452830188</v>
      </c>
      <c r="T33" s="60">
        <v>83207.547169811311</v>
      </c>
      <c r="U33" s="39"/>
      <c r="V33" s="40"/>
      <c r="W33" s="39"/>
      <c r="X33" s="39"/>
      <c r="Y33" s="39"/>
      <c r="Z33" s="39"/>
      <c r="AA33" s="39"/>
      <c r="AB33" s="39"/>
      <c r="AC33" s="39">
        <v>0</v>
      </c>
    </row>
    <row r="34" spans="1:29" ht="16.5" x14ac:dyDescent="0.15">
      <c r="A34" s="35" t="s">
        <v>7</v>
      </c>
      <c r="B34" s="35" t="s">
        <v>123</v>
      </c>
      <c r="C34" s="36"/>
      <c r="D34" s="35" t="s">
        <v>7</v>
      </c>
      <c r="E34" s="14" t="s">
        <v>132</v>
      </c>
      <c r="F34" s="16">
        <v>-1302512</v>
      </c>
      <c r="G34" s="16">
        <v>-1228784.9056603799</v>
      </c>
      <c r="H34" s="37">
        <v>1.0000000002666669</v>
      </c>
      <c r="I34" s="16">
        <v>-1228784.9059880562</v>
      </c>
      <c r="J34" s="15"/>
      <c r="K34" s="35" t="s">
        <v>124</v>
      </c>
      <c r="L34" s="36">
        <v>12</v>
      </c>
      <c r="M34" s="36" t="s">
        <v>57</v>
      </c>
      <c r="N34" s="38" t="s">
        <v>155</v>
      </c>
      <c r="O34" s="36" t="s">
        <v>29</v>
      </c>
      <c r="P34" s="36"/>
      <c r="Q34" s="59" t="s">
        <v>124</v>
      </c>
      <c r="R34" s="40">
        <v>1</v>
      </c>
      <c r="S34" s="60">
        <v>-1228784.9056603799</v>
      </c>
      <c r="T34" s="60">
        <v>-1228784.9059880562</v>
      </c>
      <c r="U34" s="39"/>
      <c r="V34" s="40"/>
      <c r="W34" s="39"/>
      <c r="X34" s="39"/>
      <c r="Y34" s="39"/>
      <c r="Z34" s="39"/>
      <c r="AA34" s="39"/>
      <c r="AB34" s="39"/>
      <c r="AC34" s="39">
        <v>0</v>
      </c>
    </row>
    <row r="35" spans="1:29" ht="16.5" x14ac:dyDescent="0.15">
      <c r="A35" s="35" t="s">
        <v>7</v>
      </c>
      <c r="B35" s="35" t="s">
        <v>123</v>
      </c>
      <c r="C35" s="36"/>
      <c r="D35" s="35" t="s">
        <v>7</v>
      </c>
      <c r="E35" s="14" t="s">
        <v>132</v>
      </c>
      <c r="F35" s="16">
        <v>1302512</v>
      </c>
      <c r="G35" s="16">
        <v>1228784.9056603799</v>
      </c>
      <c r="H35" s="37">
        <v>0.9667</v>
      </c>
      <c r="I35" s="16">
        <v>1187866.3683018892</v>
      </c>
      <c r="J35" s="15"/>
      <c r="K35" s="35" t="s">
        <v>124</v>
      </c>
      <c r="L35" s="36">
        <v>12</v>
      </c>
      <c r="M35" s="36" t="s">
        <v>67</v>
      </c>
      <c r="N35" s="38">
        <v>229706.6</v>
      </c>
      <c r="O35" s="36" t="s">
        <v>29</v>
      </c>
      <c r="P35" s="36"/>
      <c r="Q35" s="59" t="s">
        <v>124</v>
      </c>
      <c r="R35" s="40">
        <v>1</v>
      </c>
      <c r="S35" s="60">
        <v>1228784.9056603799</v>
      </c>
      <c r="T35" s="60">
        <v>1187866.3683018892</v>
      </c>
      <c r="U35" s="39"/>
      <c r="V35" s="40"/>
      <c r="W35" s="39"/>
      <c r="X35" s="39"/>
      <c r="Y35" s="39"/>
      <c r="Z35" s="39"/>
      <c r="AA35" s="39"/>
      <c r="AB35" s="39"/>
      <c r="AC35" s="39">
        <v>0</v>
      </c>
    </row>
    <row r="36" spans="1:29" ht="16.5" x14ac:dyDescent="0.15">
      <c r="A36" s="35" t="s">
        <v>7</v>
      </c>
      <c r="B36" s="35" t="s">
        <v>123</v>
      </c>
      <c r="C36" s="36"/>
      <c r="D36" s="35" t="s">
        <v>7</v>
      </c>
      <c r="E36" s="14" t="s">
        <v>151</v>
      </c>
      <c r="F36" s="16">
        <v>42687.199999999997</v>
      </c>
      <c r="G36" s="16">
        <v>40270.943396226408</v>
      </c>
      <c r="H36" s="37">
        <v>1</v>
      </c>
      <c r="I36" s="16">
        <v>40270.943396226408</v>
      </c>
      <c r="J36" s="15"/>
      <c r="K36" s="35" t="s">
        <v>152</v>
      </c>
      <c r="L36" s="36">
        <v>12</v>
      </c>
      <c r="M36" s="36" t="s">
        <v>67</v>
      </c>
      <c r="N36" s="38">
        <v>2013.5471698113213</v>
      </c>
      <c r="O36" s="36" t="s">
        <v>29</v>
      </c>
      <c r="P36" s="36"/>
      <c r="Q36" s="59" t="s">
        <v>152</v>
      </c>
      <c r="R36" s="40">
        <v>1</v>
      </c>
      <c r="S36" s="60">
        <v>40270.943396226408</v>
      </c>
      <c r="T36" s="60">
        <v>40270.943396226408</v>
      </c>
      <c r="U36" s="39"/>
      <c r="V36" s="40"/>
      <c r="W36" s="39"/>
      <c r="X36" s="39"/>
      <c r="Y36" s="39"/>
      <c r="Z36" s="39"/>
      <c r="AA36" s="39"/>
      <c r="AB36" s="39"/>
      <c r="AC36" s="39" t="s">
        <v>35</v>
      </c>
    </row>
    <row r="37" spans="1:29" ht="16.5" x14ac:dyDescent="0.15">
      <c r="A37" s="35" t="s">
        <v>71</v>
      </c>
      <c r="B37" s="35" t="s">
        <v>123</v>
      </c>
      <c r="C37" s="36"/>
      <c r="D37" s="35" t="s">
        <v>7</v>
      </c>
      <c r="E37" s="14" t="s">
        <v>133</v>
      </c>
      <c r="F37" s="16">
        <v>4897536</v>
      </c>
      <c r="G37" s="16">
        <v>4185928.2051282055</v>
      </c>
      <c r="H37" s="37">
        <v>0.06</v>
      </c>
      <c r="I37" s="16">
        <v>251155.69230769231</v>
      </c>
      <c r="J37" s="15"/>
      <c r="K37" s="35" t="s">
        <v>134</v>
      </c>
      <c r="L37" s="36">
        <v>12</v>
      </c>
      <c r="M37" s="157" t="s">
        <v>57</v>
      </c>
      <c r="N37" s="160">
        <v>0</v>
      </c>
      <c r="O37" s="36" t="s">
        <v>74</v>
      </c>
      <c r="P37" s="36"/>
      <c r="Q37" s="59" t="s">
        <v>134</v>
      </c>
      <c r="R37" s="40">
        <v>1</v>
      </c>
      <c r="S37" s="60">
        <v>4185928.2051282055</v>
      </c>
      <c r="T37" s="60">
        <v>251155.69230769231</v>
      </c>
      <c r="U37" s="39"/>
      <c r="V37" s="40"/>
      <c r="W37" s="39"/>
      <c r="X37" s="39"/>
      <c r="Y37" s="39"/>
      <c r="Z37" s="39"/>
      <c r="AA37" s="174"/>
      <c r="AB37" s="39"/>
      <c r="AC37" s="163" t="s">
        <v>35</v>
      </c>
    </row>
    <row r="38" spans="1:29" ht="16.5" x14ac:dyDescent="0.15">
      <c r="A38" s="35" t="s">
        <v>102</v>
      </c>
      <c r="B38" s="35" t="s">
        <v>123</v>
      </c>
      <c r="C38" s="36"/>
      <c r="D38" s="35" t="s">
        <v>102</v>
      </c>
      <c r="E38" s="14" t="s">
        <v>149</v>
      </c>
      <c r="F38" s="16">
        <v>10000</v>
      </c>
      <c r="G38" s="16">
        <v>9433.9622641509432</v>
      </c>
      <c r="H38" s="37">
        <v>1</v>
      </c>
      <c r="I38" s="16">
        <v>9433.9622641509432</v>
      </c>
      <c r="J38" s="15"/>
      <c r="K38" s="35" t="s">
        <v>125</v>
      </c>
      <c r="L38" s="36">
        <v>12</v>
      </c>
      <c r="M38" s="36" t="s">
        <v>57</v>
      </c>
      <c r="N38" s="38">
        <v>0</v>
      </c>
      <c r="O38" s="36" t="s">
        <v>105</v>
      </c>
      <c r="P38" s="36"/>
      <c r="Q38" s="59" t="s">
        <v>125</v>
      </c>
      <c r="R38" s="40">
        <v>1</v>
      </c>
      <c r="S38" s="60">
        <v>9433.9622641509432</v>
      </c>
      <c r="T38" s="60">
        <v>9433.9622641509432</v>
      </c>
      <c r="U38" s="39"/>
      <c r="V38" s="40"/>
      <c r="W38" s="39"/>
      <c r="X38" s="39"/>
      <c r="Y38" s="39"/>
      <c r="Z38" s="39"/>
      <c r="AA38" s="39"/>
      <c r="AB38" s="163"/>
      <c r="AC38" s="163" t="s">
        <v>156</v>
      </c>
    </row>
    <row r="39" spans="1:29" ht="16.5" x14ac:dyDescent="0.15">
      <c r="A39" s="35" t="s">
        <v>7</v>
      </c>
      <c r="B39" s="35" t="s">
        <v>123</v>
      </c>
      <c r="C39" s="36"/>
      <c r="D39" s="35" t="s">
        <v>7</v>
      </c>
      <c r="E39" s="14" t="s">
        <v>138</v>
      </c>
      <c r="F39" s="16">
        <v>892449</v>
      </c>
      <c r="G39" s="16">
        <v>841933.01886792446</v>
      </c>
      <c r="H39" s="37">
        <v>3.8600000000000002E-2</v>
      </c>
      <c r="I39" s="16">
        <v>32498.614528301885</v>
      </c>
      <c r="J39" s="15"/>
      <c r="K39" s="35" t="s">
        <v>139</v>
      </c>
      <c r="L39" s="36">
        <v>12</v>
      </c>
      <c r="M39" s="36" t="s">
        <v>64</v>
      </c>
      <c r="N39" s="38">
        <v>0</v>
      </c>
      <c r="O39" s="36" t="s">
        <v>29</v>
      </c>
      <c r="P39" s="36"/>
      <c r="Q39" s="59" t="s">
        <v>139</v>
      </c>
      <c r="R39" s="40">
        <v>1</v>
      </c>
      <c r="S39" s="60">
        <v>841933.01886792446</v>
      </c>
      <c r="T39" s="60">
        <v>32498.614528301885</v>
      </c>
      <c r="U39" s="39"/>
      <c r="V39" s="40"/>
      <c r="W39" s="39"/>
      <c r="X39" s="39"/>
      <c r="Y39" s="39"/>
      <c r="Z39" s="39"/>
      <c r="AA39" s="39"/>
      <c r="AB39" s="163"/>
      <c r="AC39" s="163">
        <v>0</v>
      </c>
    </row>
    <row r="40" spans="1:29" ht="16.5" x14ac:dyDescent="0.15">
      <c r="A40" s="35" t="s">
        <v>7</v>
      </c>
      <c r="B40" s="35" t="s">
        <v>123</v>
      </c>
      <c r="C40" s="36"/>
      <c r="D40" s="35" t="s">
        <v>7</v>
      </c>
      <c r="E40" s="14" t="s">
        <v>157</v>
      </c>
      <c r="F40" s="16">
        <v>197400</v>
      </c>
      <c r="G40" s="16">
        <v>168717.94871794872</v>
      </c>
      <c r="H40" s="37">
        <v>9.7000000000000017E-2</v>
      </c>
      <c r="I40" s="16">
        <v>16365.641025641029</v>
      </c>
      <c r="J40" s="15"/>
      <c r="K40" s="35" t="s">
        <v>158</v>
      </c>
      <c r="L40" s="36">
        <v>12</v>
      </c>
      <c r="M40" s="36" t="s">
        <v>57</v>
      </c>
      <c r="N40" s="38" t="s">
        <v>155</v>
      </c>
      <c r="O40" s="36" t="s">
        <v>29</v>
      </c>
      <c r="P40" s="36"/>
      <c r="Q40" s="59" t="s">
        <v>159</v>
      </c>
      <c r="R40" s="40">
        <v>1</v>
      </c>
      <c r="S40" s="60">
        <v>168717.94871794872</v>
      </c>
      <c r="T40" s="60">
        <v>16365.641025641029</v>
      </c>
      <c r="U40" s="39"/>
      <c r="V40" s="40"/>
      <c r="W40" s="39"/>
      <c r="X40" s="39"/>
      <c r="Y40" s="39"/>
      <c r="Z40" s="39"/>
      <c r="AA40" s="39"/>
      <c r="AB40" s="163"/>
      <c r="AC40" s="163">
        <v>0</v>
      </c>
    </row>
    <row r="41" spans="1:29" ht="16.5" x14ac:dyDescent="0.15">
      <c r="A41" s="35" t="s">
        <v>7</v>
      </c>
      <c r="B41" s="35" t="s">
        <v>123</v>
      </c>
      <c r="C41" s="36"/>
      <c r="D41" s="35" t="s">
        <v>7</v>
      </c>
      <c r="E41" s="14" t="s">
        <v>138</v>
      </c>
      <c r="F41" s="16">
        <v>99161</v>
      </c>
      <c r="G41" s="16">
        <v>93548.113207547169</v>
      </c>
      <c r="H41" s="37">
        <v>3.8600000000000002E-2</v>
      </c>
      <c r="I41" s="16">
        <v>3610.9571698113209</v>
      </c>
      <c r="J41" s="15"/>
      <c r="K41" s="35" t="s">
        <v>139</v>
      </c>
      <c r="L41" s="36">
        <v>12</v>
      </c>
      <c r="M41" s="36" t="s">
        <v>57</v>
      </c>
      <c r="N41" s="38">
        <v>0</v>
      </c>
      <c r="O41" s="36" t="s">
        <v>29</v>
      </c>
      <c r="P41" s="36"/>
      <c r="Q41" s="59" t="s">
        <v>139</v>
      </c>
      <c r="R41" s="40">
        <v>1</v>
      </c>
      <c r="S41" s="60">
        <v>93548.113207547169</v>
      </c>
      <c r="T41" s="60">
        <v>3610.9571698113209</v>
      </c>
      <c r="U41" s="39"/>
      <c r="V41" s="40"/>
      <c r="W41" s="39"/>
      <c r="X41" s="39"/>
      <c r="Y41" s="39"/>
      <c r="Z41" s="39"/>
      <c r="AA41" s="39"/>
      <c r="AB41" s="163"/>
      <c r="AC41" s="163">
        <v>0</v>
      </c>
    </row>
    <row r="42" spans="1:29" ht="16.5" x14ac:dyDescent="0.15">
      <c r="A42" s="35" t="s">
        <v>71</v>
      </c>
      <c r="B42" s="35" t="s">
        <v>123</v>
      </c>
      <c r="C42" s="36"/>
      <c r="D42" s="35" t="s">
        <v>7</v>
      </c>
      <c r="E42" s="14" t="s">
        <v>128</v>
      </c>
      <c r="F42" s="16">
        <v>1245400</v>
      </c>
      <c r="G42" s="16">
        <v>1064444.4444444445</v>
      </c>
      <c r="H42" s="37">
        <v>8.409999999999998E-2</v>
      </c>
      <c r="I42" s="16">
        <v>89519.777777777766</v>
      </c>
      <c r="J42" s="15"/>
      <c r="K42" s="35" t="s">
        <v>129</v>
      </c>
      <c r="L42" s="36">
        <v>12</v>
      </c>
      <c r="M42" s="36" t="s">
        <v>57</v>
      </c>
      <c r="N42" s="38">
        <v>0</v>
      </c>
      <c r="O42" s="36" t="s">
        <v>74</v>
      </c>
      <c r="P42" s="36"/>
      <c r="Q42" s="59" t="s">
        <v>129</v>
      </c>
      <c r="R42" s="40">
        <v>1</v>
      </c>
      <c r="S42" s="60">
        <v>1064444.4444444445</v>
      </c>
      <c r="T42" s="60">
        <v>89519.777777777766</v>
      </c>
      <c r="U42" s="39"/>
      <c r="V42" s="40"/>
      <c r="W42" s="39"/>
      <c r="X42" s="39"/>
      <c r="Y42" s="39"/>
      <c r="Z42" s="39"/>
      <c r="AA42" s="39"/>
      <c r="AB42" s="163"/>
      <c r="AC42" s="163" t="s">
        <v>32</v>
      </c>
    </row>
    <row r="43" spans="1:29" ht="16.5" x14ac:dyDescent="0.15">
      <c r="A43" s="35" t="s">
        <v>71</v>
      </c>
      <c r="B43" s="35" t="s">
        <v>123</v>
      </c>
      <c r="C43" s="36"/>
      <c r="D43" s="35" t="s">
        <v>7</v>
      </c>
      <c r="E43" s="14" t="s">
        <v>128</v>
      </c>
      <c r="F43" s="16">
        <v>202200</v>
      </c>
      <c r="G43" s="16">
        <v>190754.71698113208</v>
      </c>
      <c r="H43" s="37">
        <v>1</v>
      </c>
      <c r="I43" s="16">
        <v>190754.71698113208</v>
      </c>
      <c r="J43" s="15"/>
      <c r="K43" s="35" t="s">
        <v>129</v>
      </c>
      <c r="L43" s="36">
        <v>12</v>
      </c>
      <c r="M43" s="36" t="s">
        <v>57</v>
      </c>
      <c r="N43" s="38">
        <v>0</v>
      </c>
      <c r="O43" s="36" t="s">
        <v>74</v>
      </c>
      <c r="P43" s="36"/>
      <c r="Q43" s="59" t="s">
        <v>129</v>
      </c>
      <c r="R43" s="40">
        <v>1</v>
      </c>
      <c r="S43" s="60">
        <v>190754.71698113208</v>
      </c>
      <c r="T43" s="60">
        <v>190754.71698113208</v>
      </c>
      <c r="U43" s="39"/>
      <c r="V43" s="40"/>
      <c r="W43" s="39"/>
      <c r="X43" s="39"/>
      <c r="Y43" s="39"/>
      <c r="Z43" s="39"/>
      <c r="AA43" s="39"/>
      <c r="AB43" s="163"/>
      <c r="AC43" s="163" t="s">
        <v>32</v>
      </c>
    </row>
    <row r="44" spans="1:29" ht="16.5" x14ac:dyDescent="0.15">
      <c r="A44" s="35" t="s">
        <v>71</v>
      </c>
      <c r="B44" s="35" t="s">
        <v>123</v>
      </c>
      <c r="C44" s="36"/>
      <c r="D44" s="35" t="s">
        <v>7</v>
      </c>
      <c r="E44" s="14" t="s">
        <v>133</v>
      </c>
      <c r="F44" s="16">
        <v>4897536</v>
      </c>
      <c r="G44" s="16">
        <v>4185928.2051282055</v>
      </c>
      <c r="H44" s="37">
        <v>0.06</v>
      </c>
      <c r="I44" s="16">
        <v>251155.69230769231</v>
      </c>
      <c r="J44" s="15"/>
      <c r="K44" s="35" t="s">
        <v>134</v>
      </c>
      <c r="L44" s="36">
        <v>12</v>
      </c>
      <c r="M44" s="36" t="s">
        <v>57</v>
      </c>
      <c r="N44" s="38">
        <v>0</v>
      </c>
      <c r="O44" s="36" t="s">
        <v>74</v>
      </c>
      <c r="P44" s="36"/>
      <c r="Q44" s="59" t="s">
        <v>134</v>
      </c>
      <c r="R44" s="40">
        <v>1</v>
      </c>
      <c r="S44" s="60">
        <v>4185928.2051282055</v>
      </c>
      <c r="T44" s="60">
        <v>251155.69230769231</v>
      </c>
      <c r="U44" s="39"/>
      <c r="V44" s="40"/>
      <c r="W44" s="39"/>
      <c r="X44" s="39"/>
      <c r="Y44" s="39"/>
      <c r="Z44" s="39"/>
      <c r="AA44" s="39"/>
      <c r="AB44" s="163"/>
      <c r="AC44" s="163" t="s">
        <v>35</v>
      </c>
    </row>
    <row r="45" spans="1:29" ht="16.5" x14ac:dyDescent="0.15">
      <c r="A45" s="35" t="s">
        <v>71</v>
      </c>
      <c r="B45" s="35" t="s">
        <v>123</v>
      </c>
      <c r="C45" s="36"/>
      <c r="D45" s="35" t="s">
        <v>7</v>
      </c>
      <c r="E45" s="14" t="s">
        <v>160</v>
      </c>
      <c r="F45" s="16">
        <v>3107200</v>
      </c>
      <c r="G45" s="16">
        <v>2655726.495726496</v>
      </c>
      <c r="H45" s="37">
        <v>0.06</v>
      </c>
      <c r="I45" s="16">
        <v>159343.58974358975</v>
      </c>
      <c r="J45" s="15"/>
      <c r="K45" s="35" t="s">
        <v>161</v>
      </c>
      <c r="L45" s="36">
        <v>12</v>
      </c>
      <c r="M45" s="36" t="s">
        <v>57</v>
      </c>
      <c r="N45" s="38">
        <v>0</v>
      </c>
      <c r="O45" s="36" t="s">
        <v>74</v>
      </c>
      <c r="P45" s="36"/>
      <c r="Q45" s="59" t="s">
        <v>161</v>
      </c>
      <c r="R45" s="40">
        <v>1</v>
      </c>
      <c r="S45" s="60">
        <v>2655726.495726496</v>
      </c>
      <c r="T45" s="60">
        <v>159343.58974358975</v>
      </c>
      <c r="U45" s="39"/>
      <c r="V45" s="40"/>
      <c r="W45" s="39"/>
      <c r="X45" s="39"/>
      <c r="Y45" s="39"/>
      <c r="Z45" s="39"/>
      <c r="AA45" s="39"/>
      <c r="AB45" s="163"/>
      <c r="AC45" s="163">
        <v>0</v>
      </c>
    </row>
    <row r="46" spans="1:29" ht="16.5" x14ac:dyDescent="0.15">
      <c r="A46" s="35" t="s">
        <v>71</v>
      </c>
      <c r="B46" s="35" t="s">
        <v>123</v>
      </c>
      <c r="C46" s="36"/>
      <c r="D46" s="35" t="s">
        <v>7</v>
      </c>
      <c r="E46" s="14" t="s">
        <v>162</v>
      </c>
      <c r="F46" s="16">
        <v>1396856.6</v>
      </c>
      <c r="G46" s="16">
        <v>1193894.52991453</v>
      </c>
      <c r="H46" s="37">
        <v>6.6299999999999998E-2</v>
      </c>
      <c r="I46" s="16">
        <v>79155.207333333339</v>
      </c>
      <c r="J46" s="15"/>
      <c r="K46" s="35" t="s">
        <v>142</v>
      </c>
      <c r="L46" s="36">
        <v>12</v>
      </c>
      <c r="M46" s="36" t="s">
        <v>57</v>
      </c>
      <c r="N46" s="38">
        <v>0</v>
      </c>
      <c r="O46" s="36" t="s">
        <v>74</v>
      </c>
      <c r="P46" s="36"/>
      <c r="Q46" s="59" t="s">
        <v>142</v>
      </c>
      <c r="R46" s="40">
        <v>1</v>
      </c>
      <c r="S46" s="60">
        <v>1193894.52991453</v>
      </c>
      <c r="T46" s="60">
        <v>79155.207333333339</v>
      </c>
      <c r="U46" s="39"/>
      <c r="V46" s="40"/>
      <c r="W46" s="39"/>
      <c r="X46" s="39"/>
      <c r="Y46" s="39"/>
      <c r="Z46" s="39"/>
      <c r="AA46" s="39"/>
      <c r="AB46" s="163"/>
      <c r="AC46" s="163">
        <v>0</v>
      </c>
    </row>
    <row r="47" spans="1:29" ht="16.5" x14ac:dyDescent="0.15">
      <c r="A47" s="35" t="s">
        <v>71</v>
      </c>
      <c r="B47" s="35" t="s">
        <v>123</v>
      </c>
      <c r="C47" s="36"/>
      <c r="D47" s="35" t="s">
        <v>7</v>
      </c>
      <c r="E47" s="14" t="s">
        <v>141</v>
      </c>
      <c r="F47" s="16">
        <v>1498496</v>
      </c>
      <c r="G47" s="16">
        <v>1280765.811965812</v>
      </c>
      <c r="H47" s="37">
        <v>0.03</v>
      </c>
      <c r="I47" s="16">
        <v>38422.974358974359</v>
      </c>
      <c r="J47" s="15"/>
      <c r="K47" s="35" t="s">
        <v>142</v>
      </c>
      <c r="L47" s="36">
        <v>12</v>
      </c>
      <c r="M47" s="36" t="s">
        <v>57</v>
      </c>
      <c r="N47" s="38">
        <v>0</v>
      </c>
      <c r="O47" s="36" t="s">
        <v>74</v>
      </c>
      <c r="P47" s="36"/>
      <c r="Q47" s="59" t="s">
        <v>142</v>
      </c>
      <c r="R47" s="40">
        <v>1</v>
      </c>
      <c r="S47" s="60">
        <v>1280765.811965812</v>
      </c>
      <c r="T47" s="60">
        <v>38422.974358974359</v>
      </c>
      <c r="U47" s="39"/>
      <c r="V47" s="40"/>
      <c r="W47" s="39"/>
      <c r="X47" s="39"/>
      <c r="Y47" s="39"/>
      <c r="Z47" s="39"/>
      <c r="AA47" s="39"/>
      <c r="AB47" s="163"/>
      <c r="AC47" s="163" t="s">
        <v>35</v>
      </c>
    </row>
    <row r="48" spans="1:29" ht="16.5" x14ac:dyDescent="0.15">
      <c r="A48" s="35" t="s">
        <v>71</v>
      </c>
      <c r="B48" s="35" t="s">
        <v>123</v>
      </c>
      <c r="C48" s="36"/>
      <c r="D48" s="35" t="s">
        <v>7</v>
      </c>
      <c r="E48" s="14" t="s">
        <v>133</v>
      </c>
      <c r="F48" s="16">
        <v>4489408</v>
      </c>
      <c r="G48" s="16">
        <v>3837100.854700855</v>
      </c>
      <c r="H48" s="37">
        <v>0.06</v>
      </c>
      <c r="I48" s="16">
        <v>230226.05128205128</v>
      </c>
      <c r="J48" s="15"/>
      <c r="K48" s="35" t="s">
        <v>134</v>
      </c>
      <c r="L48" s="36">
        <v>12</v>
      </c>
      <c r="M48" s="36" t="s">
        <v>57</v>
      </c>
      <c r="N48" s="38">
        <v>0</v>
      </c>
      <c r="O48" s="36" t="s">
        <v>74</v>
      </c>
      <c r="P48" s="36"/>
      <c r="Q48" s="59" t="s">
        <v>134</v>
      </c>
      <c r="R48" s="40">
        <v>1</v>
      </c>
      <c r="S48" s="60">
        <v>3837100.854700855</v>
      </c>
      <c r="T48" s="60">
        <v>230226.05128205128</v>
      </c>
      <c r="U48" s="39"/>
      <c r="V48" s="40"/>
      <c r="W48" s="39"/>
      <c r="X48" s="39"/>
      <c r="Y48" s="39"/>
      <c r="Z48" s="39"/>
      <c r="AA48" s="39"/>
      <c r="AB48" s="163"/>
      <c r="AC48" s="163" t="s">
        <v>35</v>
      </c>
    </row>
    <row r="49" spans="1:29" ht="16.5" x14ac:dyDescent="0.15">
      <c r="A49" s="35" t="s">
        <v>7</v>
      </c>
      <c r="B49" s="35" t="s">
        <v>123</v>
      </c>
      <c r="C49" s="36"/>
      <c r="D49" s="35" t="s">
        <v>7</v>
      </c>
      <c r="E49" s="14" t="s">
        <v>132</v>
      </c>
      <c r="F49" s="16">
        <v>916070</v>
      </c>
      <c r="G49" s="16">
        <v>864216.98113207542</v>
      </c>
      <c r="H49" s="37">
        <v>0.9667</v>
      </c>
      <c r="I49" s="16">
        <v>835438.55566037737</v>
      </c>
      <c r="J49" s="15"/>
      <c r="K49" s="35" t="s">
        <v>124</v>
      </c>
      <c r="L49" s="36">
        <v>12</v>
      </c>
      <c r="M49" s="36" t="s">
        <v>67</v>
      </c>
      <c r="N49" s="38" t="s">
        <v>155</v>
      </c>
      <c r="O49" s="36" t="s">
        <v>29</v>
      </c>
      <c r="P49" s="36"/>
      <c r="Q49" s="164" t="s">
        <v>124</v>
      </c>
      <c r="R49" s="169">
        <v>1</v>
      </c>
      <c r="S49" s="179">
        <v>864216.98113207542</v>
      </c>
      <c r="T49" s="179">
        <v>835438.55566037737</v>
      </c>
      <c r="U49" s="163"/>
      <c r="V49" s="169"/>
      <c r="W49" s="163"/>
      <c r="X49" s="163"/>
      <c r="Y49" s="163"/>
      <c r="Z49" s="163"/>
      <c r="AA49" s="163"/>
      <c r="AB49" s="163"/>
      <c r="AC49" s="163">
        <v>0</v>
      </c>
    </row>
    <row r="50" spans="1:29" ht="16.5" x14ac:dyDescent="0.15">
      <c r="A50" s="35" t="s">
        <v>36</v>
      </c>
      <c r="B50" s="35" t="s">
        <v>123</v>
      </c>
      <c r="C50" s="36"/>
      <c r="D50" s="35" t="s">
        <v>36</v>
      </c>
      <c r="E50" s="14" t="s">
        <v>163</v>
      </c>
      <c r="F50" s="16">
        <v>3251500</v>
      </c>
      <c r="G50" s="16">
        <v>3067452.830188679</v>
      </c>
      <c r="H50" s="37">
        <v>0.5171</v>
      </c>
      <c r="I50" s="16">
        <v>1586179.858490566</v>
      </c>
      <c r="J50" s="15"/>
      <c r="K50" s="35" t="s">
        <v>164</v>
      </c>
      <c r="L50" s="36">
        <v>12</v>
      </c>
      <c r="M50" s="36" t="s">
        <v>57</v>
      </c>
      <c r="N50" s="38">
        <v>0</v>
      </c>
      <c r="O50" s="36" t="s">
        <v>40</v>
      </c>
      <c r="P50" s="36"/>
      <c r="Q50" s="59" t="s">
        <v>159</v>
      </c>
      <c r="R50" s="40">
        <v>1</v>
      </c>
      <c r="S50" s="60">
        <v>3067452.830188679</v>
      </c>
      <c r="T50" s="60">
        <v>1586179.858490566</v>
      </c>
      <c r="U50" s="39"/>
      <c r="V50" s="40"/>
      <c r="W50" s="39"/>
      <c r="X50" s="39"/>
      <c r="Y50" s="39"/>
      <c r="Z50" s="39"/>
      <c r="AA50" s="39"/>
      <c r="AB50" s="39"/>
      <c r="AC50" s="39" t="s">
        <v>35</v>
      </c>
    </row>
    <row r="51" spans="1:29" ht="16.5" x14ac:dyDescent="0.15">
      <c r="A51" s="35" t="s">
        <v>36</v>
      </c>
      <c r="B51" s="35" t="s">
        <v>123</v>
      </c>
      <c r="C51" s="36"/>
      <c r="D51" s="35" t="s">
        <v>36</v>
      </c>
      <c r="E51" s="14" t="s">
        <v>163</v>
      </c>
      <c r="F51" s="16">
        <v>4898500</v>
      </c>
      <c r="G51" s="16">
        <v>4186752.136752137</v>
      </c>
      <c r="H51" s="37">
        <v>0.16400000000000001</v>
      </c>
      <c r="I51" s="16">
        <v>686627.3504273505</v>
      </c>
      <c r="J51" s="15"/>
      <c r="K51" s="35" t="s">
        <v>164</v>
      </c>
      <c r="L51" s="36">
        <v>12</v>
      </c>
      <c r="M51" s="36" t="s">
        <v>57</v>
      </c>
      <c r="N51" s="38">
        <v>0</v>
      </c>
      <c r="O51" s="36" t="s">
        <v>40</v>
      </c>
      <c r="P51" s="36"/>
      <c r="Q51" s="59" t="s">
        <v>159</v>
      </c>
      <c r="R51" s="40">
        <v>1</v>
      </c>
      <c r="S51" s="60">
        <v>4186752.136752137</v>
      </c>
      <c r="T51" s="60">
        <v>686627.3504273505</v>
      </c>
      <c r="U51" s="39"/>
      <c r="V51" s="40"/>
      <c r="W51" s="39"/>
      <c r="X51" s="39"/>
      <c r="Y51" s="39"/>
      <c r="Z51" s="39"/>
      <c r="AA51" s="39"/>
      <c r="AB51" s="39"/>
      <c r="AC51" s="39" t="s">
        <v>35</v>
      </c>
    </row>
    <row r="52" spans="1:29" ht="16.5" x14ac:dyDescent="0.15">
      <c r="A52" s="35" t="s">
        <v>7</v>
      </c>
      <c r="B52" s="35" t="s">
        <v>123</v>
      </c>
      <c r="C52" s="36"/>
      <c r="D52" s="35" t="s">
        <v>7</v>
      </c>
      <c r="E52" s="14" t="s">
        <v>165</v>
      </c>
      <c r="F52" s="16">
        <v>1945000</v>
      </c>
      <c r="G52" s="16">
        <v>1834905.6603773583</v>
      </c>
      <c r="H52" s="37">
        <v>0.1565</v>
      </c>
      <c r="I52" s="16">
        <v>287162.73584905657</v>
      </c>
      <c r="J52" s="15"/>
      <c r="K52" s="35" t="s">
        <v>124</v>
      </c>
      <c r="L52" s="36">
        <v>12</v>
      </c>
      <c r="M52" s="36" t="s">
        <v>57</v>
      </c>
      <c r="N52" s="38">
        <v>0</v>
      </c>
      <c r="O52" s="36" t="s">
        <v>29</v>
      </c>
      <c r="P52" s="36"/>
      <c r="Q52" s="59" t="s">
        <v>124</v>
      </c>
      <c r="R52" s="40">
        <v>1</v>
      </c>
      <c r="S52" s="60">
        <v>1834905.6603773583</v>
      </c>
      <c r="T52" s="60">
        <v>287162.73584905657</v>
      </c>
      <c r="U52" s="39"/>
      <c r="V52" s="40"/>
      <c r="W52" s="39"/>
      <c r="X52" s="39"/>
      <c r="Y52" s="39"/>
      <c r="Z52" s="39"/>
      <c r="AA52" s="39"/>
      <c r="AB52" s="39"/>
      <c r="AC52" s="39">
        <v>0</v>
      </c>
    </row>
    <row r="53" spans="1:29" ht="16.5" x14ac:dyDescent="0.35">
      <c r="A53" s="35" t="s">
        <v>71</v>
      </c>
      <c r="B53" s="35" t="s">
        <v>123</v>
      </c>
      <c r="C53" s="12"/>
      <c r="D53" s="35" t="s">
        <v>7</v>
      </c>
      <c r="E53" s="41" t="s">
        <v>166</v>
      </c>
      <c r="F53" s="42">
        <v>120750</v>
      </c>
      <c r="G53" s="42">
        <v>103205.12820512822</v>
      </c>
      <c r="H53" s="19">
        <v>0.05</v>
      </c>
      <c r="I53" s="42">
        <v>5160.2564102564111</v>
      </c>
      <c r="J53" s="43"/>
      <c r="K53" s="35" t="s">
        <v>167</v>
      </c>
      <c r="L53" s="35">
        <v>10</v>
      </c>
      <c r="M53" s="35" t="s">
        <v>57</v>
      </c>
      <c r="N53" s="44"/>
      <c r="O53" s="35" t="s">
        <v>74</v>
      </c>
      <c r="P53" s="19" t="s">
        <v>168</v>
      </c>
      <c r="Q53" s="59" t="s">
        <v>167</v>
      </c>
      <c r="R53" s="40">
        <v>1</v>
      </c>
      <c r="S53" s="61">
        <v>103205.12820512822</v>
      </c>
      <c r="T53" s="61">
        <v>5160.2564102564111</v>
      </c>
      <c r="U53" s="39"/>
      <c r="V53" s="39"/>
      <c r="W53" s="39"/>
      <c r="X53" s="39"/>
      <c r="Y53" s="39"/>
      <c r="Z53" s="39"/>
      <c r="AA53" s="39"/>
      <c r="AB53" s="39"/>
      <c r="AC53" s="39"/>
    </row>
    <row r="54" spans="1:29" ht="16.5" x14ac:dyDescent="0.15">
      <c r="A54" s="35" t="s">
        <v>7</v>
      </c>
      <c r="B54" s="35" t="s">
        <v>127</v>
      </c>
      <c r="C54" s="36"/>
      <c r="D54" s="35" t="s">
        <v>7</v>
      </c>
      <c r="E54" s="14" t="s">
        <v>169</v>
      </c>
      <c r="F54" s="16">
        <v>92400</v>
      </c>
      <c r="G54" s="16">
        <v>87169.811320754714</v>
      </c>
      <c r="H54" s="37">
        <v>0.15367965367965375</v>
      </c>
      <c r="I54" s="16">
        <v>13396.226415094345</v>
      </c>
      <c r="J54" s="15"/>
      <c r="K54" s="35" t="s">
        <v>124</v>
      </c>
      <c r="L54" s="36">
        <v>11</v>
      </c>
      <c r="M54" s="36" t="s">
        <v>67</v>
      </c>
      <c r="N54" s="38">
        <v>5660.3773584905657</v>
      </c>
      <c r="O54" s="36" t="s">
        <v>29</v>
      </c>
      <c r="P54" s="36"/>
      <c r="Q54" s="59" t="s">
        <v>124</v>
      </c>
      <c r="R54" s="40">
        <v>1</v>
      </c>
      <c r="S54" s="60">
        <v>87169.811320754714</v>
      </c>
      <c r="T54" s="60">
        <v>13396.226415094345</v>
      </c>
      <c r="U54" s="39"/>
      <c r="V54" s="39"/>
      <c r="W54" s="39"/>
      <c r="X54" s="39"/>
      <c r="Y54" s="39"/>
      <c r="Z54" s="39"/>
      <c r="AA54" s="39"/>
      <c r="AB54" s="39"/>
      <c r="AC54" s="39"/>
    </row>
    <row r="55" spans="1:29" ht="16.5" x14ac:dyDescent="0.15">
      <c r="A55" s="35" t="s">
        <v>7</v>
      </c>
      <c r="B55" s="35" t="s">
        <v>127</v>
      </c>
      <c r="C55" s="36"/>
      <c r="D55" s="35" t="s">
        <v>7</v>
      </c>
      <c r="E55" s="14" t="s">
        <v>148</v>
      </c>
      <c r="F55" s="16">
        <v>9162.7000000000007</v>
      </c>
      <c r="G55" s="16">
        <v>8644.0566037735844</v>
      </c>
      <c r="H55" s="37">
        <v>1</v>
      </c>
      <c r="I55" s="16">
        <v>8644.0566037735844</v>
      </c>
      <c r="J55" s="15"/>
      <c r="K55" s="35" t="s">
        <v>145</v>
      </c>
      <c r="L55" s="36">
        <v>11</v>
      </c>
      <c r="M55" s="36" t="s">
        <v>67</v>
      </c>
      <c r="N55" s="38">
        <v>2074.5754716981141</v>
      </c>
      <c r="O55" s="36" t="s">
        <v>29</v>
      </c>
      <c r="P55" s="36"/>
      <c r="Q55" s="59" t="s">
        <v>145</v>
      </c>
      <c r="R55" s="40">
        <v>1</v>
      </c>
      <c r="S55" s="60">
        <v>8644.0566037735844</v>
      </c>
      <c r="T55" s="60">
        <v>8644.0566037735844</v>
      </c>
      <c r="U55" s="39"/>
      <c r="V55" s="39"/>
      <c r="W55" s="39"/>
      <c r="X55" s="39"/>
      <c r="Y55" s="39"/>
      <c r="Z55" s="39"/>
      <c r="AA55" s="39"/>
      <c r="AB55" s="39"/>
      <c r="AC55" s="39"/>
    </row>
    <row r="56" spans="1:29" ht="16.5" x14ac:dyDescent="0.15">
      <c r="A56" s="35" t="s">
        <v>71</v>
      </c>
      <c r="B56" s="35" t="s">
        <v>127</v>
      </c>
      <c r="C56" s="48"/>
      <c r="D56" s="49" t="s">
        <v>7</v>
      </c>
      <c r="E56" s="14" t="s">
        <v>170</v>
      </c>
      <c r="F56" s="16">
        <v>1437000</v>
      </c>
      <c r="G56" s="16">
        <v>1355660.3773584906</v>
      </c>
      <c r="H56" s="37">
        <v>0.05</v>
      </c>
      <c r="I56" s="16">
        <v>67783.018867924533</v>
      </c>
      <c r="J56" s="50"/>
      <c r="K56" s="35" t="s">
        <v>171</v>
      </c>
      <c r="L56" s="36">
        <v>11</v>
      </c>
      <c r="M56" s="36" t="s">
        <v>57</v>
      </c>
      <c r="N56" s="38">
        <v>0</v>
      </c>
      <c r="O56" s="36" t="s">
        <v>74</v>
      </c>
      <c r="P56" s="48"/>
      <c r="Q56" s="59" t="s">
        <v>171</v>
      </c>
      <c r="R56" s="40">
        <v>1</v>
      </c>
      <c r="S56" s="60">
        <v>1355660.3773584906</v>
      </c>
      <c r="T56" s="60">
        <v>67783.018867924533</v>
      </c>
      <c r="U56" s="39"/>
      <c r="V56" s="39"/>
      <c r="W56" s="39"/>
      <c r="X56" s="39"/>
      <c r="Y56" s="39"/>
      <c r="Z56" s="39"/>
      <c r="AA56" s="39"/>
      <c r="AB56" s="39"/>
      <c r="AC56" s="39"/>
    </row>
    <row r="57" spans="1:29" ht="16.5" x14ac:dyDescent="0.15">
      <c r="A57" s="35" t="s">
        <v>36</v>
      </c>
      <c r="B57" s="35" t="s">
        <v>176</v>
      </c>
      <c r="C57" s="36"/>
      <c r="D57" s="35" t="s">
        <v>36</v>
      </c>
      <c r="E57" s="14" t="s">
        <v>177</v>
      </c>
      <c r="F57" s="16">
        <v>-835100</v>
      </c>
      <c r="G57" s="16">
        <v>-787830.18867924495</v>
      </c>
      <c r="H57" s="37">
        <v>9.7099999999999992E-2</v>
      </c>
      <c r="I57" s="16">
        <v>-76498.311320754685</v>
      </c>
      <c r="J57" s="15"/>
      <c r="K57" s="35" t="s">
        <v>57</v>
      </c>
      <c r="L57" s="36">
        <v>12</v>
      </c>
      <c r="M57" s="36" t="s">
        <v>57</v>
      </c>
      <c r="N57" s="38">
        <v>0</v>
      </c>
      <c r="O57" s="36" t="s">
        <v>40</v>
      </c>
      <c r="P57" s="36"/>
      <c r="Q57" s="39" t="s">
        <v>175</v>
      </c>
      <c r="R57" s="40">
        <v>1</v>
      </c>
      <c r="S57" s="39">
        <v>0</v>
      </c>
      <c r="T57" s="39">
        <v>0</v>
      </c>
      <c r="U57" s="39">
        <v>0</v>
      </c>
      <c r="V57" s="40">
        <v>0</v>
      </c>
      <c r="W57" s="39">
        <v>0</v>
      </c>
      <c r="X57" s="39">
        <v>0</v>
      </c>
      <c r="Y57" s="39">
        <v>0</v>
      </c>
      <c r="Z57" s="39">
        <v>0</v>
      </c>
      <c r="AA57" s="39">
        <v>0</v>
      </c>
      <c r="AB57" s="39">
        <v>0</v>
      </c>
      <c r="AC57" s="39" t="s">
        <v>35</v>
      </c>
    </row>
    <row r="58" spans="1:29" ht="16.5" x14ac:dyDescent="0.15">
      <c r="A58" s="35" t="s">
        <v>36</v>
      </c>
      <c r="B58" s="35" t="s">
        <v>176</v>
      </c>
      <c r="C58" s="36"/>
      <c r="D58" s="35" t="s">
        <v>36</v>
      </c>
      <c r="E58" s="14" t="s">
        <v>177</v>
      </c>
      <c r="F58" s="16">
        <v>835100</v>
      </c>
      <c r="G58" s="16">
        <v>787830.1886792453</v>
      </c>
      <c r="H58" s="37">
        <v>0.1171</v>
      </c>
      <c r="I58" s="16">
        <v>92254.915094339623</v>
      </c>
      <c r="J58" s="15"/>
      <c r="K58" s="35" t="s">
        <v>57</v>
      </c>
      <c r="L58" s="36">
        <v>12</v>
      </c>
      <c r="M58" s="36" t="s">
        <v>57</v>
      </c>
      <c r="N58" s="38">
        <v>0</v>
      </c>
      <c r="O58" s="36" t="s">
        <v>40</v>
      </c>
      <c r="P58" s="36"/>
      <c r="Q58" s="39" t="s">
        <v>175</v>
      </c>
      <c r="R58" s="40">
        <v>1</v>
      </c>
      <c r="S58" s="39">
        <v>0</v>
      </c>
      <c r="T58" s="39">
        <v>0</v>
      </c>
      <c r="U58" s="39">
        <v>0</v>
      </c>
      <c r="V58" s="40">
        <v>0</v>
      </c>
      <c r="W58" s="39">
        <v>0</v>
      </c>
      <c r="X58" s="39">
        <v>0</v>
      </c>
      <c r="Y58" s="39">
        <v>0</v>
      </c>
      <c r="Z58" s="39">
        <v>0</v>
      </c>
      <c r="AA58" s="39">
        <v>0</v>
      </c>
      <c r="AB58" s="39">
        <v>0</v>
      </c>
      <c r="AC58" s="39" t="s">
        <v>35</v>
      </c>
    </row>
    <row r="59" spans="1:29" ht="16.5" x14ac:dyDescent="0.15">
      <c r="A59" s="35" t="s">
        <v>7</v>
      </c>
      <c r="B59" s="35" t="s">
        <v>176</v>
      </c>
      <c r="C59" s="36"/>
      <c r="D59" s="35" t="s">
        <v>7</v>
      </c>
      <c r="E59" s="14" t="s">
        <v>190</v>
      </c>
      <c r="F59" s="16">
        <v>220000</v>
      </c>
      <c r="G59" s="16">
        <v>207547.16981132075</v>
      </c>
      <c r="H59" s="37">
        <v>6.2E-2</v>
      </c>
      <c r="I59" s="16">
        <v>12867.924528301886</v>
      </c>
      <c r="J59" s="15"/>
      <c r="K59" s="35" t="s">
        <v>180</v>
      </c>
      <c r="L59" s="36">
        <v>12</v>
      </c>
      <c r="M59" s="36" t="s">
        <v>57</v>
      </c>
      <c r="N59" s="38">
        <v>0</v>
      </c>
      <c r="O59" s="36" t="s">
        <v>29</v>
      </c>
      <c r="P59" s="36"/>
      <c r="Q59" s="39" t="s">
        <v>192</v>
      </c>
      <c r="R59" s="40">
        <v>1</v>
      </c>
      <c r="S59" s="39">
        <v>0</v>
      </c>
      <c r="T59" s="39">
        <v>0</v>
      </c>
      <c r="U59" s="39">
        <v>0</v>
      </c>
      <c r="V59" s="40">
        <v>0</v>
      </c>
      <c r="W59" s="39">
        <v>0</v>
      </c>
      <c r="X59" s="39">
        <v>0</v>
      </c>
      <c r="Y59" s="39">
        <v>0</v>
      </c>
      <c r="Z59" s="39">
        <v>0</v>
      </c>
      <c r="AA59" s="39">
        <v>0</v>
      </c>
      <c r="AB59" s="39">
        <v>0</v>
      </c>
      <c r="AC59" s="39" t="s">
        <v>35</v>
      </c>
    </row>
    <row r="60" spans="1:29" ht="16.5" x14ac:dyDescent="0.15">
      <c r="A60" s="35" t="s">
        <v>36</v>
      </c>
      <c r="B60" s="35" t="s">
        <v>176</v>
      </c>
      <c r="C60" s="36"/>
      <c r="D60" s="35" t="s">
        <v>36</v>
      </c>
      <c r="E60" s="14" t="s">
        <v>193</v>
      </c>
      <c r="F60" s="16">
        <v>282500</v>
      </c>
      <c r="G60" s="16">
        <v>266509.43396226416</v>
      </c>
      <c r="H60" s="37">
        <v>0.55510000000000004</v>
      </c>
      <c r="I60" s="16">
        <v>147939.38679245283</v>
      </c>
      <c r="J60" s="15"/>
      <c r="K60" s="35" t="s">
        <v>174</v>
      </c>
      <c r="L60" s="36">
        <v>12</v>
      </c>
      <c r="M60" s="36" t="s">
        <v>57</v>
      </c>
      <c r="N60" s="38">
        <v>0</v>
      </c>
      <c r="O60" s="36" t="s">
        <v>40</v>
      </c>
      <c r="P60" s="36"/>
      <c r="Q60" s="39" t="s">
        <v>175</v>
      </c>
      <c r="R60" s="40">
        <v>1</v>
      </c>
      <c r="S60" s="39">
        <v>0</v>
      </c>
      <c r="T60" s="39">
        <v>0</v>
      </c>
      <c r="U60" s="39">
        <v>0</v>
      </c>
      <c r="V60" s="40">
        <v>0</v>
      </c>
      <c r="W60" s="39">
        <v>0</v>
      </c>
      <c r="X60" s="39">
        <v>0</v>
      </c>
      <c r="Y60" s="39">
        <v>0</v>
      </c>
      <c r="Z60" s="39">
        <v>0</v>
      </c>
      <c r="AA60" s="39">
        <v>0</v>
      </c>
      <c r="AB60" s="163">
        <v>0</v>
      </c>
      <c r="AC60" s="163">
        <v>0</v>
      </c>
    </row>
    <row r="61" spans="1:29" ht="16.5" x14ac:dyDescent="0.15">
      <c r="A61" s="35" t="s">
        <v>7</v>
      </c>
      <c r="B61" s="35" t="s">
        <v>176</v>
      </c>
      <c r="C61" s="36"/>
      <c r="D61" s="35" t="s">
        <v>7</v>
      </c>
      <c r="E61" s="14" t="s">
        <v>194</v>
      </c>
      <c r="F61" s="16">
        <v>85000</v>
      </c>
      <c r="G61" s="16">
        <v>80188.679245283012</v>
      </c>
      <c r="H61" s="37">
        <v>4.1200000000000001E-2</v>
      </c>
      <c r="I61" s="16">
        <v>3303.7735849056603</v>
      </c>
      <c r="J61" s="15"/>
      <c r="K61" s="35" t="s">
        <v>195</v>
      </c>
      <c r="L61" s="36">
        <v>12</v>
      </c>
      <c r="M61" s="36" t="s">
        <v>64</v>
      </c>
      <c r="N61" s="38">
        <v>0</v>
      </c>
      <c r="O61" s="36" t="s">
        <v>29</v>
      </c>
      <c r="P61" s="36"/>
      <c r="Q61" s="39" t="s">
        <v>196</v>
      </c>
      <c r="R61" s="40">
        <v>1</v>
      </c>
      <c r="S61" s="39">
        <v>0</v>
      </c>
      <c r="T61" s="39">
        <v>0</v>
      </c>
      <c r="U61" s="39">
        <v>0</v>
      </c>
      <c r="V61" s="40">
        <v>0</v>
      </c>
      <c r="W61" s="39">
        <v>0</v>
      </c>
      <c r="X61" s="39">
        <v>0</v>
      </c>
      <c r="Y61" s="39">
        <v>0</v>
      </c>
      <c r="Z61" s="39">
        <v>0</v>
      </c>
      <c r="AA61" s="39">
        <v>0</v>
      </c>
      <c r="AB61" s="163">
        <v>0</v>
      </c>
      <c r="AC61" s="163">
        <v>0</v>
      </c>
    </row>
    <row r="62" spans="1:29" ht="16.5" x14ac:dyDescent="0.15">
      <c r="A62" s="35" t="s">
        <v>7</v>
      </c>
      <c r="B62" s="35" t="s">
        <v>176</v>
      </c>
      <c r="C62" s="36"/>
      <c r="D62" s="35" t="s">
        <v>7</v>
      </c>
      <c r="E62" s="14" t="s">
        <v>188</v>
      </c>
      <c r="F62" s="16">
        <v>22800</v>
      </c>
      <c r="G62" s="16">
        <v>21509.433962264149</v>
      </c>
      <c r="H62" s="37">
        <v>1</v>
      </c>
      <c r="I62" s="16">
        <v>21509.433962264149</v>
      </c>
      <c r="J62" s="15"/>
      <c r="K62" s="35" t="s">
        <v>180</v>
      </c>
      <c r="L62" s="36">
        <v>12</v>
      </c>
      <c r="M62" s="36" t="s">
        <v>64</v>
      </c>
      <c r="N62" s="38">
        <v>0</v>
      </c>
      <c r="O62" s="36" t="s">
        <v>29</v>
      </c>
      <c r="P62" s="36"/>
      <c r="Q62" s="39" t="s">
        <v>192</v>
      </c>
      <c r="R62" s="40">
        <v>1</v>
      </c>
      <c r="S62" s="39">
        <v>0</v>
      </c>
      <c r="T62" s="39">
        <v>0</v>
      </c>
      <c r="U62" s="39">
        <v>0</v>
      </c>
      <c r="V62" s="40">
        <v>0</v>
      </c>
      <c r="W62" s="39">
        <v>0</v>
      </c>
      <c r="X62" s="39">
        <v>0</v>
      </c>
      <c r="Y62" s="39">
        <v>0</v>
      </c>
      <c r="Z62" s="39">
        <v>0</v>
      </c>
      <c r="AA62" s="39">
        <v>0</v>
      </c>
      <c r="AB62" s="163">
        <v>0</v>
      </c>
      <c r="AC62" s="163" t="s">
        <v>35</v>
      </c>
    </row>
    <row r="63" spans="1:29" ht="16.5" x14ac:dyDescent="0.15">
      <c r="A63" s="35" t="s">
        <v>36</v>
      </c>
      <c r="B63" s="35" t="s">
        <v>176</v>
      </c>
      <c r="C63" s="36"/>
      <c r="D63" s="35" t="s">
        <v>36</v>
      </c>
      <c r="E63" s="14" t="s">
        <v>172</v>
      </c>
      <c r="F63" s="16">
        <v>280000</v>
      </c>
      <c r="G63" s="16">
        <v>264150.94339622639</v>
      </c>
      <c r="H63" s="37">
        <v>0.68499999999999994</v>
      </c>
      <c r="I63" s="16">
        <v>180943.39622641506</v>
      </c>
      <c r="J63" s="15"/>
      <c r="K63" s="35" t="s">
        <v>174</v>
      </c>
      <c r="L63" s="36">
        <v>12</v>
      </c>
      <c r="M63" s="36" t="s">
        <v>57</v>
      </c>
      <c r="N63" s="38">
        <v>0</v>
      </c>
      <c r="O63" s="36" t="s">
        <v>40</v>
      </c>
      <c r="P63" s="36"/>
      <c r="Q63" s="163" t="s">
        <v>175</v>
      </c>
      <c r="R63" s="169">
        <v>1</v>
      </c>
      <c r="S63" s="163">
        <v>0</v>
      </c>
      <c r="T63" s="163">
        <v>0</v>
      </c>
      <c r="U63" s="163">
        <v>0</v>
      </c>
      <c r="V63" s="169">
        <v>0</v>
      </c>
      <c r="W63" s="163">
        <v>0</v>
      </c>
      <c r="X63" s="163">
        <v>0</v>
      </c>
      <c r="Y63" s="163">
        <v>0</v>
      </c>
      <c r="Z63" s="163">
        <v>0</v>
      </c>
      <c r="AA63" s="163">
        <v>0</v>
      </c>
      <c r="AB63" s="163">
        <v>0</v>
      </c>
      <c r="AC63" s="163" t="s">
        <v>35</v>
      </c>
    </row>
    <row r="64" spans="1:29" ht="16.5" x14ac:dyDescent="0.15">
      <c r="A64" s="35" t="s">
        <v>7</v>
      </c>
      <c r="B64" s="35" t="s">
        <v>176</v>
      </c>
      <c r="C64" s="36"/>
      <c r="D64" s="35" t="s">
        <v>7</v>
      </c>
      <c r="E64" s="14" t="s">
        <v>186</v>
      </c>
      <c r="F64" s="16">
        <v>69062</v>
      </c>
      <c r="G64" s="16">
        <v>65152.83018867924</v>
      </c>
      <c r="H64" s="37">
        <v>4.4299999999999999E-2</v>
      </c>
      <c r="I64" s="16">
        <v>2886.2703773584904</v>
      </c>
      <c r="J64" s="15"/>
      <c r="K64" s="35" t="s">
        <v>180</v>
      </c>
      <c r="L64" s="36">
        <v>12</v>
      </c>
      <c r="M64" s="36" t="s">
        <v>57</v>
      </c>
      <c r="N64" s="38">
        <v>0</v>
      </c>
      <c r="O64" s="36" t="s">
        <v>29</v>
      </c>
      <c r="P64" s="36"/>
      <c r="Q64" s="39" t="s">
        <v>192</v>
      </c>
      <c r="R64" s="40">
        <v>1</v>
      </c>
      <c r="S64" s="39">
        <v>0</v>
      </c>
      <c r="T64" s="39">
        <v>0</v>
      </c>
      <c r="U64" s="39">
        <v>0</v>
      </c>
      <c r="V64" s="40">
        <v>0</v>
      </c>
      <c r="W64" s="39">
        <v>0</v>
      </c>
      <c r="X64" s="39">
        <v>0</v>
      </c>
      <c r="Y64" s="39">
        <v>0</v>
      </c>
      <c r="Z64" s="39">
        <v>0</v>
      </c>
      <c r="AA64" s="39">
        <v>0</v>
      </c>
      <c r="AB64" s="39">
        <v>0</v>
      </c>
      <c r="AC64" s="39" t="s">
        <v>35</v>
      </c>
    </row>
    <row r="65" spans="1:29" ht="16.5" x14ac:dyDescent="0.15">
      <c r="A65" s="35" t="s">
        <v>7</v>
      </c>
      <c r="B65" s="35" t="s">
        <v>176</v>
      </c>
      <c r="C65" s="36"/>
      <c r="D65" s="35" t="s">
        <v>7</v>
      </c>
      <c r="E65" s="14" t="s">
        <v>179</v>
      </c>
      <c r="F65" s="16">
        <v>18000</v>
      </c>
      <c r="G65" s="16">
        <v>16981.132075471698</v>
      </c>
      <c r="H65" s="37">
        <v>1</v>
      </c>
      <c r="I65" s="16">
        <v>16981.132075471698</v>
      </c>
      <c r="J65" s="15"/>
      <c r="K65" s="35" t="s">
        <v>180</v>
      </c>
      <c r="L65" s="36">
        <v>12</v>
      </c>
      <c r="M65" s="36" t="s">
        <v>57</v>
      </c>
      <c r="N65" s="38">
        <v>0</v>
      </c>
      <c r="O65" s="36" t="s">
        <v>29</v>
      </c>
      <c r="P65" s="36"/>
      <c r="Q65" s="39" t="s">
        <v>192</v>
      </c>
      <c r="R65" s="40">
        <v>1</v>
      </c>
      <c r="S65" s="39">
        <v>0</v>
      </c>
      <c r="T65" s="39">
        <v>0</v>
      </c>
      <c r="U65" s="39">
        <v>0</v>
      </c>
      <c r="V65" s="40">
        <v>0</v>
      </c>
      <c r="W65" s="39">
        <v>0</v>
      </c>
      <c r="X65" s="39">
        <v>0</v>
      </c>
      <c r="Y65" s="39">
        <v>0</v>
      </c>
      <c r="Z65" s="39">
        <v>0</v>
      </c>
      <c r="AA65" s="39">
        <v>0</v>
      </c>
      <c r="AB65" s="39">
        <v>0</v>
      </c>
      <c r="AC65" s="39" t="s">
        <v>35</v>
      </c>
    </row>
    <row r="66" spans="1:29" ht="16.5" x14ac:dyDescent="0.35">
      <c r="A66" s="35" t="s">
        <v>69</v>
      </c>
      <c r="B66" s="35" t="s">
        <v>182</v>
      </c>
      <c r="C66" s="12"/>
      <c r="D66" s="35" t="s">
        <v>69</v>
      </c>
      <c r="E66" s="41" t="s">
        <v>70</v>
      </c>
      <c r="F66" s="42"/>
      <c r="G66" s="42"/>
      <c r="H66" s="19"/>
      <c r="I66" s="42">
        <v>9626.2818867924543</v>
      </c>
      <c r="J66" s="43"/>
      <c r="K66" s="35"/>
      <c r="L66" s="35">
        <v>10</v>
      </c>
      <c r="M66" s="35" t="s">
        <v>57</v>
      </c>
      <c r="N66" s="44">
        <v>9626.2818867924543</v>
      </c>
      <c r="O66" s="35" t="s">
        <v>29</v>
      </c>
      <c r="P66" s="19"/>
      <c r="Q66" s="39" t="s">
        <v>192</v>
      </c>
      <c r="R66" s="40">
        <v>1</v>
      </c>
      <c r="S66" s="39"/>
      <c r="T66" s="39"/>
      <c r="U66" s="39"/>
      <c r="V66" s="39"/>
      <c r="W66" s="39"/>
      <c r="X66" s="39"/>
      <c r="Y66" s="39"/>
      <c r="Z66" s="39"/>
      <c r="AA66" s="39"/>
      <c r="AB66" s="39"/>
      <c r="AC66" s="39"/>
    </row>
    <row r="67" spans="1:29" ht="16.5" x14ac:dyDescent="0.35">
      <c r="A67" s="35" t="s">
        <v>7</v>
      </c>
      <c r="B67" s="35" t="s">
        <v>176</v>
      </c>
      <c r="C67" s="12"/>
      <c r="D67" s="35" t="s">
        <v>7</v>
      </c>
      <c r="E67" s="41" t="s">
        <v>197</v>
      </c>
      <c r="F67" s="42">
        <v>520000</v>
      </c>
      <c r="G67" s="42">
        <v>490566.03773584904</v>
      </c>
      <c r="H67" s="19">
        <v>0.16690000000000002</v>
      </c>
      <c r="I67" s="42">
        <v>81875.471698113208</v>
      </c>
      <c r="J67" s="43"/>
      <c r="K67" s="35" t="s">
        <v>198</v>
      </c>
      <c r="L67" s="35">
        <v>10</v>
      </c>
      <c r="M67" s="35" t="s">
        <v>67</v>
      </c>
      <c r="N67" s="44">
        <v>28301.886792452828</v>
      </c>
      <c r="O67" s="35" t="s">
        <v>29</v>
      </c>
      <c r="P67" s="19" t="s">
        <v>199</v>
      </c>
      <c r="Q67" s="39" t="s">
        <v>192</v>
      </c>
      <c r="R67" s="40">
        <v>1</v>
      </c>
      <c r="S67" s="39"/>
      <c r="T67" s="39"/>
      <c r="U67" s="39"/>
      <c r="V67" s="39"/>
      <c r="W67" s="39"/>
      <c r="X67" s="39"/>
      <c r="Y67" s="39"/>
      <c r="Z67" s="39"/>
      <c r="AA67" s="39"/>
      <c r="AB67" s="39"/>
      <c r="AC67" s="39"/>
    </row>
    <row r="68" spans="1:29" ht="16.5" x14ac:dyDescent="0.35">
      <c r="A68" s="62" t="s">
        <v>7</v>
      </c>
      <c r="B68" s="62" t="s">
        <v>176</v>
      </c>
      <c r="C68" s="12"/>
      <c r="D68" s="62" t="s">
        <v>7</v>
      </c>
      <c r="E68" s="63" t="s">
        <v>194</v>
      </c>
      <c r="F68" s="64">
        <v>85000</v>
      </c>
      <c r="G68" s="64">
        <v>80188.679245283012</v>
      </c>
      <c r="H68" s="65">
        <v>4.1200000000000001E-2</v>
      </c>
      <c r="I68" s="64">
        <v>3303.7735849056603</v>
      </c>
      <c r="J68" s="66"/>
      <c r="K68" s="62" t="s">
        <v>195</v>
      </c>
      <c r="L68" s="35">
        <v>10</v>
      </c>
      <c r="M68" s="62" t="s">
        <v>64</v>
      </c>
      <c r="N68" s="67"/>
      <c r="O68" s="62" t="s">
        <v>29</v>
      </c>
      <c r="P68" s="65" t="s">
        <v>200</v>
      </c>
      <c r="Q68" s="39" t="s">
        <v>196</v>
      </c>
      <c r="R68" s="40">
        <v>1</v>
      </c>
      <c r="S68" s="39"/>
      <c r="T68" s="39"/>
      <c r="U68" s="39"/>
      <c r="V68" s="39"/>
      <c r="W68" s="39"/>
      <c r="X68" s="39"/>
      <c r="Y68" s="39"/>
      <c r="Z68" s="39"/>
      <c r="AA68" s="39"/>
      <c r="AB68" s="39"/>
      <c r="AC68" s="39"/>
    </row>
    <row r="69" spans="1:29" ht="16.5" x14ac:dyDescent="0.15">
      <c r="A69" s="35" t="s">
        <v>36</v>
      </c>
      <c r="B69" s="35" t="s">
        <v>173</v>
      </c>
      <c r="C69" s="36"/>
      <c r="D69" s="35" t="s">
        <v>36</v>
      </c>
      <c r="E69" s="14" t="s">
        <v>177</v>
      </c>
      <c r="F69" s="16">
        <v>835100</v>
      </c>
      <c r="G69" s="16">
        <v>787830.1886792453</v>
      </c>
      <c r="H69" s="37">
        <v>9.7099999999999992E-2</v>
      </c>
      <c r="I69" s="16">
        <v>76498.311320754714</v>
      </c>
      <c r="J69" s="15"/>
      <c r="K69" s="35" t="s">
        <v>174</v>
      </c>
      <c r="L69" s="36">
        <v>11</v>
      </c>
      <c r="M69" s="36" t="s">
        <v>57</v>
      </c>
      <c r="N69" s="38">
        <v>0</v>
      </c>
      <c r="O69" s="36" t="s">
        <v>40</v>
      </c>
      <c r="P69" s="36"/>
      <c r="Q69" s="39" t="s">
        <v>175</v>
      </c>
      <c r="R69" s="40">
        <v>1</v>
      </c>
      <c r="S69" s="39"/>
      <c r="T69" s="39"/>
      <c r="U69" s="39"/>
      <c r="V69" s="39"/>
      <c r="W69" s="39"/>
      <c r="X69" s="39"/>
      <c r="Y69" s="39"/>
      <c r="Z69" s="39"/>
      <c r="AA69" s="39"/>
      <c r="AB69" s="39"/>
      <c r="AC69" s="39"/>
    </row>
    <row r="70" spans="1:29" ht="16.5" x14ac:dyDescent="0.15">
      <c r="A70" s="35" t="s">
        <v>36</v>
      </c>
      <c r="B70" s="35" t="s">
        <v>173</v>
      </c>
      <c r="C70" s="36"/>
      <c r="D70" s="35" t="s">
        <v>36</v>
      </c>
      <c r="E70" s="14" t="s">
        <v>183</v>
      </c>
      <c r="F70" s="16">
        <v>324300</v>
      </c>
      <c r="G70" s="16">
        <v>305943.39622641506</v>
      </c>
      <c r="H70" s="37">
        <v>0.15</v>
      </c>
      <c r="I70" s="16">
        <v>45891.509433962259</v>
      </c>
      <c r="J70" s="15"/>
      <c r="K70" s="35" t="s">
        <v>174</v>
      </c>
      <c r="L70" s="36">
        <v>11</v>
      </c>
      <c r="M70" s="36" t="s">
        <v>57</v>
      </c>
      <c r="N70" s="38">
        <v>0</v>
      </c>
      <c r="O70" s="36" t="s">
        <v>40</v>
      </c>
      <c r="P70" s="36"/>
      <c r="Q70" s="39" t="s">
        <v>175</v>
      </c>
      <c r="R70" s="40">
        <v>1</v>
      </c>
      <c r="S70" s="39"/>
      <c r="T70" s="39"/>
      <c r="U70" s="39"/>
      <c r="V70" s="39"/>
      <c r="W70" s="39"/>
      <c r="X70" s="39"/>
      <c r="Y70" s="39"/>
      <c r="Z70" s="39"/>
      <c r="AA70" s="39"/>
      <c r="AB70" s="39"/>
      <c r="AC70" s="39"/>
    </row>
    <row r="71" spans="1:29" ht="16.5" x14ac:dyDescent="0.15">
      <c r="A71" s="35" t="s">
        <v>36</v>
      </c>
      <c r="B71" s="35" t="s">
        <v>173</v>
      </c>
      <c r="C71" s="36"/>
      <c r="D71" s="35" t="s">
        <v>36</v>
      </c>
      <c r="E71" s="14" t="s">
        <v>185</v>
      </c>
      <c r="F71" s="16">
        <v>687900</v>
      </c>
      <c r="G71" s="16">
        <v>587948.717948718</v>
      </c>
      <c r="H71" s="37">
        <v>0.05</v>
      </c>
      <c r="I71" s="16">
        <v>29397.435897435902</v>
      </c>
      <c r="J71" s="15"/>
      <c r="K71" s="35" t="s">
        <v>174</v>
      </c>
      <c r="L71" s="36">
        <v>11</v>
      </c>
      <c r="M71" s="36" t="s">
        <v>57</v>
      </c>
      <c r="N71" s="38">
        <v>0</v>
      </c>
      <c r="O71" s="36" t="s">
        <v>40</v>
      </c>
      <c r="P71" s="36"/>
      <c r="Q71" s="39" t="s">
        <v>175</v>
      </c>
      <c r="R71" s="40">
        <v>1</v>
      </c>
      <c r="S71" s="39"/>
      <c r="T71" s="39"/>
      <c r="U71" s="39"/>
      <c r="V71" s="39"/>
      <c r="W71" s="39"/>
      <c r="X71" s="39"/>
      <c r="Y71" s="39"/>
      <c r="Z71" s="39"/>
      <c r="AA71" s="39"/>
      <c r="AB71" s="163"/>
      <c r="AC71" s="163"/>
    </row>
    <row r="72" spans="1:29" ht="16.5" x14ac:dyDescent="0.15">
      <c r="A72" s="35" t="s">
        <v>7</v>
      </c>
      <c r="B72" s="35" t="s">
        <v>203</v>
      </c>
      <c r="C72" s="36"/>
      <c r="D72" s="35" t="s">
        <v>7</v>
      </c>
      <c r="E72" s="14" t="s">
        <v>221</v>
      </c>
      <c r="F72" s="16">
        <v>224723.7</v>
      </c>
      <c r="G72" s="16">
        <v>212003.49056603774</v>
      </c>
      <c r="H72" s="37">
        <v>0.41676783060880807</v>
      </c>
      <c r="I72" s="16">
        <v>88356.234844702456</v>
      </c>
      <c r="J72" s="15"/>
      <c r="K72" s="35" t="s">
        <v>222</v>
      </c>
      <c r="L72" s="36">
        <v>12</v>
      </c>
      <c r="M72" s="36" t="s">
        <v>64</v>
      </c>
      <c r="N72" s="38">
        <v>0</v>
      </c>
      <c r="O72" s="36" t="s">
        <v>29</v>
      </c>
      <c r="P72" s="36"/>
      <c r="Q72" s="39" t="s">
        <v>223</v>
      </c>
      <c r="R72" s="40">
        <v>1</v>
      </c>
      <c r="S72" s="39">
        <v>212003</v>
      </c>
      <c r="T72" s="39">
        <v>88356</v>
      </c>
      <c r="U72" s="39">
        <v>0</v>
      </c>
      <c r="V72" s="40">
        <v>0</v>
      </c>
      <c r="W72" s="39">
        <v>0</v>
      </c>
      <c r="X72" s="39">
        <v>0</v>
      </c>
      <c r="Y72" s="39">
        <v>0</v>
      </c>
      <c r="Z72" s="39">
        <v>0</v>
      </c>
      <c r="AA72" s="39">
        <v>0</v>
      </c>
      <c r="AB72" s="163">
        <v>0</v>
      </c>
      <c r="AC72" s="163">
        <v>0</v>
      </c>
    </row>
    <row r="73" spans="1:29" ht="16.5" x14ac:dyDescent="0.15">
      <c r="A73" s="35" t="s">
        <v>7</v>
      </c>
      <c r="B73" s="35" t="s">
        <v>203</v>
      </c>
      <c r="C73" s="36"/>
      <c r="D73" s="35" t="s">
        <v>7</v>
      </c>
      <c r="E73" s="14" t="s">
        <v>224</v>
      </c>
      <c r="F73" s="16">
        <v>399000</v>
      </c>
      <c r="G73" s="16">
        <v>376415.09433962265</v>
      </c>
      <c r="H73" s="37">
        <v>0.44</v>
      </c>
      <c r="I73" s="16">
        <v>165622.64150943398</v>
      </c>
      <c r="J73" s="15"/>
      <c r="K73" s="35" t="s">
        <v>225</v>
      </c>
      <c r="L73" s="36">
        <v>12</v>
      </c>
      <c r="M73" s="36" t="s">
        <v>57</v>
      </c>
      <c r="N73" s="38" t="s">
        <v>155</v>
      </c>
      <c r="O73" s="36" t="s">
        <v>29</v>
      </c>
      <c r="P73" s="36"/>
      <c r="Q73" s="39" t="s">
        <v>226</v>
      </c>
      <c r="R73" s="40">
        <v>1</v>
      </c>
      <c r="S73" s="39">
        <v>376415</v>
      </c>
      <c r="T73" s="39">
        <v>165623</v>
      </c>
      <c r="U73" s="39">
        <v>0</v>
      </c>
      <c r="V73" s="40">
        <v>0</v>
      </c>
      <c r="W73" s="39">
        <v>0</v>
      </c>
      <c r="X73" s="39">
        <v>0</v>
      </c>
      <c r="Y73" s="39">
        <v>0</v>
      </c>
      <c r="Z73" s="39">
        <v>0</v>
      </c>
      <c r="AA73" s="39">
        <v>0</v>
      </c>
      <c r="AB73" s="163">
        <v>0</v>
      </c>
      <c r="AC73" s="163">
        <v>0</v>
      </c>
    </row>
    <row r="74" spans="1:29" ht="16.5" x14ac:dyDescent="0.15">
      <c r="A74" s="35" t="s">
        <v>7</v>
      </c>
      <c r="B74" s="35" t="s">
        <v>203</v>
      </c>
      <c r="C74" s="36"/>
      <c r="D74" s="35" t="s">
        <v>7</v>
      </c>
      <c r="E74" s="14" t="s">
        <v>227</v>
      </c>
      <c r="F74" s="16">
        <v>3069000</v>
      </c>
      <c r="G74" s="16">
        <v>2895283.0188679243</v>
      </c>
      <c r="H74" s="37">
        <v>0.14320600986664525</v>
      </c>
      <c r="I74" s="16">
        <v>414621.92856673041</v>
      </c>
      <c r="J74" s="15"/>
      <c r="K74" s="35" t="s">
        <v>228</v>
      </c>
      <c r="L74" s="36">
        <v>12</v>
      </c>
      <c r="M74" s="36" t="s">
        <v>64</v>
      </c>
      <c r="N74" s="38">
        <v>0</v>
      </c>
      <c r="O74" s="36" t="s">
        <v>29</v>
      </c>
      <c r="P74" s="36"/>
      <c r="Q74" s="39" t="s">
        <v>229</v>
      </c>
      <c r="R74" s="40">
        <v>1</v>
      </c>
      <c r="S74" s="39">
        <v>2895283</v>
      </c>
      <c r="T74" s="39">
        <v>414622</v>
      </c>
      <c r="U74" s="39">
        <v>0</v>
      </c>
      <c r="V74" s="40">
        <v>0</v>
      </c>
      <c r="W74" s="39">
        <v>0</v>
      </c>
      <c r="X74" s="39">
        <v>0</v>
      </c>
      <c r="Y74" s="39">
        <v>0</v>
      </c>
      <c r="Z74" s="39">
        <v>0</v>
      </c>
      <c r="AA74" s="39">
        <v>0</v>
      </c>
      <c r="AB74" s="163">
        <v>0</v>
      </c>
      <c r="AC74" s="163">
        <v>0</v>
      </c>
    </row>
    <row r="75" spans="1:29" ht="16.5" x14ac:dyDescent="0.15">
      <c r="A75" s="35" t="s">
        <v>7</v>
      </c>
      <c r="B75" s="35" t="s">
        <v>203</v>
      </c>
      <c r="C75" s="36"/>
      <c r="D75" s="35" t="s">
        <v>7</v>
      </c>
      <c r="E75" s="14" t="s">
        <v>230</v>
      </c>
      <c r="F75" s="16">
        <v>4780000</v>
      </c>
      <c r="G75" s="16">
        <v>4509433.9622641504</v>
      </c>
      <c r="H75" s="37">
        <v>0.48104975108460202</v>
      </c>
      <c r="I75" s="16">
        <v>2169262.0850796201</v>
      </c>
      <c r="J75" s="15"/>
      <c r="K75" s="35" t="s">
        <v>231</v>
      </c>
      <c r="L75" s="36">
        <v>12</v>
      </c>
      <c r="M75" s="36" t="s">
        <v>64</v>
      </c>
      <c r="N75" s="38">
        <v>0</v>
      </c>
      <c r="O75" s="36" t="s">
        <v>29</v>
      </c>
      <c r="P75" s="36"/>
      <c r="Q75" s="39" t="s">
        <v>229</v>
      </c>
      <c r="R75" s="40">
        <v>1</v>
      </c>
      <c r="S75" s="39">
        <v>4509434</v>
      </c>
      <c r="T75" s="39">
        <v>2169262</v>
      </c>
      <c r="U75" s="39">
        <v>0</v>
      </c>
      <c r="V75" s="40">
        <v>0</v>
      </c>
      <c r="W75" s="39">
        <v>0</v>
      </c>
      <c r="X75" s="39">
        <v>0</v>
      </c>
      <c r="Y75" s="39">
        <v>0</v>
      </c>
      <c r="Z75" s="39">
        <v>0</v>
      </c>
      <c r="AA75" s="39">
        <v>0</v>
      </c>
      <c r="AB75" s="163">
        <v>0</v>
      </c>
      <c r="AC75" s="163">
        <v>0</v>
      </c>
    </row>
    <row r="76" spans="1:29" ht="16.5" x14ac:dyDescent="0.15">
      <c r="A76" s="35" t="s">
        <v>7</v>
      </c>
      <c r="B76" s="35" t="s">
        <v>203</v>
      </c>
      <c r="C76" s="36"/>
      <c r="D76" s="35" t="s">
        <v>7</v>
      </c>
      <c r="E76" s="14" t="s">
        <v>232</v>
      </c>
      <c r="F76" s="16">
        <v>3200000</v>
      </c>
      <c r="G76" s="16">
        <v>3018867.9245283017</v>
      </c>
      <c r="H76" s="37">
        <v>0.35750000000000004</v>
      </c>
      <c r="I76" s="16">
        <v>1079245.283018868</v>
      </c>
      <c r="J76" s="15"/>
      <c r="K76" s="35" t="s">
        <v>233</v>
      </c>
      <c r="L76" s="36">
        <v>12</v>
      </c>
      <c r="M76" s="36" t="s">
        <v>64</v>
      </c>
      <c r="N76" s="38">
        <v>0</v>
      </c>
      <c r="O76" s="36" t="s">
        <v>29</v>
      </c>
      <c r="P76" s="36"/>
      <c r="Q76" s="39" t="s">
        <v>234</v>
      </c>
      <c r="R76" s="40">
        <v>1</v>
      </c>
      <c r="S76" s="39">
        <v>3018868</v>
      </c>
      <c r="T76" s="39">
        <v>1079245</v>
      </c>
      <c r="U76" s="39">
        <v>0</v>
      </c>
      <c r="V76" s="40">
        <v>0</v>
      </c>
      <c r="W76" s="39">
        <v>0</v>
      </c>
      <c r="X76" s="39">
        <v>0</v>
      </c>
      <c r="Y76" s="39">
        <v>0</v>
      </c>
      <c r="Z76" s="39">
        <v>0</v>
      </c>
      <c r="AA76" s="39">
        <v>0</v>
      </c>
      <c r="AB76" s="163">
        <v>0</v>
      </c>
      <c r="AC76" s="163">
        <v>0</v>
      </c>
    </row>
    <row r="77" spans="1:29" ht="16.5" x14ac:dyDescent="0.15">
      <c r="A77" s="35" t="s">
        <v>7</v>
      </c>
      <c r="B77" s="35" t="s">
        <v>203</v>
      </c>
      <c r="C77" s="36"/>
      <c r="D77" s="35" t="s">
        <v>7</v>
      </c>
      <c r="E77" s="14" t="s">
        <v>221</v>
      </c>
      <c r="F77" s="16">
        <v>24970</v>
      </c>
      <c r="G77" s="16">
        <v>23556.603773584906</v>
      </c>
      <c r="H77" s="37">
        <v>0.41676783060880807</v>
      </c>
      <c r="I77" s="16">
        <v>9817.6346512282435</v>
      </c>
      <c r="J77" s="15"/>
      <c r="K77" s="35" t="s">
        <v>222</v>
      </c>
      <c r="L77" s="36">
        <v>12</v>
      </c>
      <c r="M77" s="36" t="s">
        <v>64</v>
      </c>
      <c r="N77" s="38">
        <v>0</v>
      </c>
      <c r="O77" s="36" t="s">
        <v>29</v>
      </c>
      <c r="P77" s="36"/>
      <c r="Q77" s="39" t="s">
        <v>223</v>
      </c>
      <c r="R77" s="40">
        <v>1</v>
      </c>
      <c r="S77" s="39">
        <v>23557</v>
      </c>
      <c r="T77" s="39">
        <v>9818</v>
      </c>
      <c r="U77" s="39">
        <v>0</v>
      </c>
      <c r="V77" s="40">
        <v>0</v>
      </c>
      <c r="W77" s="39">
        <v>0</v>
      </c>
      <c r="X77" s="39">
        <v>0</v>
      </c>
      <c r="Y77" s="39">
        <v>0</v>
      </c>
      <c r="Z77" s="39">
        <v>0</v>
      </c>
      <c r="AA77" s="39">
        <v>0</v>
      </c>
      <c r="AB77" s="163">
        <v>0</v>
      </c>
      <c r="AC77" s="163">
        <v>0</v>
      </c>
    </row>
    <row r="78" spans="1:29" ht="16.5" x14ac:dyDescent="0.15">
      <c r="A78" s="35" t="s">
        <v>36</v>
      </c>
      <c r="B78" s="35" t="s">
        <v>203</v>
      </c>
      <c r="C78" s="36"/>
      <c r="D78" s="35" t="s">
        <v>36</v>
      </c>
      <c r="E78" s="14" t="s">
        <v>235</v>
      </c>
      <c r="F78" s="16">
        <v>723000</v>
      </c>
      <c r="G78" s="16">
        <v>617948.717948718</v>
      </c>
      <c r="H78" s="37">
        <v>0.2</v>
      </c>
      <c r="I78" s="16">
        <v>123589.74358974361</v>
      </c>
      <c r="J78" s="15"/>
      <c r="K78" s="35" t="s">
        <v>236</v>
      </c>
      <c r="L78" s="36">
        <v>12</v>
      </c>
      <c r="M78" s="36" t="s">
        <v>57</v>
      </c>
      <c r="N78" s="38">
        <v>0</v>
      </c>
      <c r="O78" s="36" t="s">
        <v>40</v>
      </c>
      <c r="P78" s="36"/>
      <c r="Q78" s="39" t="s">
        <v>201</v>
      </c>
      <c r="R78" s="40">
        <v>1</v>
      </c>
      <c r="S78" s="39">
        <v>617949</v>
      </c>
      <c r="T78" s="39">
        <v>123590</v>
      </c>
      <c r="U78" s="39">
        <v>0</v>
      </c>
      <c r="V78" s="40">
        <v>0</v>
      </c>
      <c r="W78" s="39">
        <v>0</v>
      </c>
      <c r="X78" s="39">
        <v>0</v>
      </c>
      <c r="Y78" s="39">
        <v>0</v>
      </c>
      <c r="Z78" s="39">
        <v>0</v>
      </c>
      <c r="AA78" s="39">
        <v>0</v>
      </c>
      <c r="AB78" s="163">
        <v>0</v>
      </c>
      <c r="AC78" s="163">
        <v>0</v>
      </c>
    </row>
    <row r="79" spans="1:29" ht="16.5" x14ac:dyDescent="0.15">
      <c r="A79" s="35" t="s">
        <v>36</v>
      </c>
      <c r="B79" s="35" t="s">
        <v>203</v>
      </c>
      <c r="C79" s="36"/>
      <c r="D79" s="35" t="s">
        <v>36</v>
      </c>
      <c r="E79" s="14" t="s">
        <v>237</v>
      </c>
      <c r="F79" s="16">
        <v>161520</v>
      </c>
      <c r="G79" s="16">
        <v>152377.35849056602</v>
      </c>
      <c r="H79" s="37">
        <v>0.9425</v>
      </c>
      <c r="I79" s="16">
        <v>143615.66037735846</v>
      </c>
      <c r="J79" s="15"/>
      <c r="K79" s="35" t="s">
        <v>202</v>
      </c>
      <c r="L79" s="36">
        <v>12</v>
      </c>
      <c r="M79" s="36" t="s">
        <v>57</v>
      </c>
      <c r="N79" s="38">
        <v>0</v>
      </c>
      <c r="O79" s="36" t="s">
        <v>40</v>
      </c>
      <c r="P79" s="36"/>
      <c r="Q79" s="163" t="s">
        <v>238</v>
      </c>
      <c r="R79" s="169">
        <v>1</v>
      </c>
      <c r="S79" s="163">
        <v>152377</v>
      </c>
      <c r="T79" s="163">
        <v>143616</v>
      </c>
      <c r="U79" s="163">
        <v>0</v>
      </c>
      <c r="V79" s="169">
        <v>0</v>
      </c>
      <c r="W79" s="163">
        <v>0</v>
      </c>
      <c r="X79" s="163">
        <v>0</v>
      </c>
      <c r="Y79" s="163">
        <v>0</v>
      </c>
      <c r="Z79" s="163">
        <v>0</v>
      </c>
      <c r="AA79" s="163">
        <v>0</v>
      </c>
      <c r="AB79" s="163">
        <v>0</v>
      </c>
      <c r="AC79" s="163">
        <v>0</v>
      </c>
    </row>
    <row r="80" spans="1:29" ht="16.5" x14ac:dyDescent="0.15">
      <c r="A80" s="35" t="s">
        <v>7</v>
      </c>
      <c r="B80" s="35" t="s">
        <v>203</v>
      </c>
      <c r="C80" s="36"/>
      <c r="D80" s="35" t="s">
        <v>7</v>
      </c>
      <c r="E80" s="14" t="s">
        <v>239</v>
      </c>
      <c r="F80" s="16">
        <v>3960000</v>
      </c>
      <c r="G80" s="16">
        <v>3735849.0566037735</v>
      </c>
      <c r="H80" s="37">
        <v>0.2742</v>
      </c>
      <c r="I80" s="16">
        <v>1024369.8113207547</v>
      </c>
      <c r="J80" s="15"/>
      <c r="K80" s="35" t="s">
        <v>231</v>
      </c>
      <c r="L80" s="36">
        <v>12</v>
      </c>
      <c r="M80" s="36" t="s">
        <v>57</v>
      </c>
      <c r="N80" s="38">
        <v>0</v>
      </c>
      <c r="O80" s="36" t="s">
        <v>29</v>
      </c>
      <c r="P80" s="36"/>
      <c r="Q80" s="39" t="s">
        <v>240</v>
      </c>
      <c r="R80" s="40">
        <v>1</v>
      </c>
      <c r="S80" s="39">
        <v>3735849</v>
      </c>
      <c r="T80" s="39">
        <v>1024370</v>
      </c>
      <c r="U80" s="39">
        <v>0</v>
      </c>
      <c r="V80" s="40">
        <v>0</v>
      </c>
      <c r="W80" s="39">
        <v>0</v>
      </c>
      <c r="X80" s="39">
        <v>0</v>
      </c>
      <c r="Y80" s="39">
        <v>0</v>
      </c>
      <c r="Z80" s="39">
        <v>0</v>
      </c>
      <c r="AA80" s="39">
        <v>0</v>
      </c>
      <c r="AB80" s="39">
        <v>0</v>
      </c>
      <c r="AC80" s="39">
        <v>0</v>
      </c>
    </row>
    <row r="81" spans="1:29" ht="16.5" x14ac:dyDescent="0.15">
      <c r="A81" s="35" t="s">
        <v>71</v>
      </c>
      <c r="B81" s="35" t="s">
        <v>203</v>
      </c>
      <c r="C81" s="36"/>
      <c r="D81" s="35" t="s">
        <v>7</v>
      </c>
      <c r="E81" s="14" t="s">
        <v>241</v>
      </c>
      <c r="F81" s="16">
        <v>123421</v>
      </c>
      <c r="G81" s="16">
        <v>105488.03418803419</v>
      </c>
      <c r="H81" s="37">
        <v>0.05</v>
      </c>
      <c r="I81" s="16">
        <v>5274.4017094017099</v>
      </c>
      <c r="J81" s="15"/>
      <c r="K81" s="35" t="s">
        <v>242</v>
      </c>
      <c r="L81" s="36">
        <v>12</v>
      </c>
      <c r="M81" s="36" t="s">
        <v>57</v>
      </c>
      <c r="N81" s="38">
        <v>0</v>
      </c>
      <c r="O81" s="36" t="s">
        <v>74</v>
      </c>
      <c r="P81" s="36"/>
      <c r="Q81" s="39" t="s">
        <v>243</v>
      </c>
      <c r="R81" s="40">
        <v>1</v>
      </c>
      <c r="S81" s="39">
        <v>105488</v>
      </c>
      <c r="T81" s="39">
        <v>5274</v>
      </c>
      <c r="U81" s="39">
        <v>0</v>
      </c>
      <c r="V81" s="40">
        <v>0</v>
      </c>
      <c r="W81" s="39">
        <v>0</v>
      </c>
      <c r="X81" s="39">
        <v>0</v>
      </c>
      <c r="Y81" s="39">
        <v>0</v>
      </c>
      <c r="Z81" s="39">
        <v>0</v>
      </c>
      <c r="AA81" s="39">
        <v>0</v>
      </c>
      <c r="AB81" s="39">
        <v>0</v>
      </c>
      <c r="AC81" s="39">
        <v>0</v>
      </c>
    </row>
    <row r="82" spans="1:29" ht="16.5" x14ac:dyDescent="0.15">
      <c r="A82" s="35" t="s">
        <v>102</v>
      </c>
      <c r="B82" s="35" t="s">
        <v>203</v>
      </c>
      <c r="C82" s="36"/>
      <c r="D82" s="35" t="s">
        <v>102</v>
      </c>
      <c r="E82" s="14" t="s">
        <v>244</v>
      </c>
      <c r="F82" s="16">
        <v>306000</v>
      </c>
      <c r="G82" s="16">
        <v>288679.24528301886</v>
      </c>
      <c r="H82" s="37">
        <v>0.63680000000000003</v>
      </c>
      <c r="I82" s="16">
        <v>183830.94339622642</v>
      </c>
      <c r="J82" s="15"/>
      <c r="K82" s="35" t="s">
        <v>245</v>
      </c>
      <c r="L82" s="36">
        <v>12</v>
      </c>
      <c r="M82" s="36" t="s">
        <v>57</v>
      </c>
      <c r="N82" s="38">
        <v>0</v>
      </c>
      <c r="O82" s="36" t="s">
        <v>105</v>
      </c>
      <c r="P82" s="36"/>
      <c r="Q82" s="39" t="s">
        <v>246</v>
      </c>
      <c r="R82" s="40">
        <v>1</v>
      </c>
      <c r="S82" s="39">
        <v>288679</v>
      </c>
      <c r="T82" s="39">
        <v>183831</v>
      </c>
      <c r="U82" s="39">
        <v>0</v>
      </c>
      <c r="V82" s="40">
        <v>0</v>
      </c>
      <c r="W82" s="39">
        <v>0</v>
      </c>
      <c r="X82" s="39">
        <v>0</v>
      </c>
      <c r="Y82" s="39">
        <v>0</v>
      </c>
      <c r="Z82" s="39">
        <v>0</v>
      </c>
      <c r="AA82" s="39">
        <v>0</v>
      </c>
      <c r="AB82" s="39">
        <v>0</v>
      </c>
      <c r="AC82" s="39">
        <v>0</v>
      </c>
    </row>
    <row r="83" spans="1:29" ht="16.5" x14ac:dyDescent="0.15">
      <c r="A83" s="35" t="s">
        <v>7</v>
      </c>
      <c r="B83" s="35" t="s">
        <v>203</v>
      </c>
      <c r="C83" s="36"/>
      <c r="D83" s="35" t="s">
        <v>7</v>
      </c>
      <c r="E83" s="14" t="s">
        <v>247</v>
      </c>
      <c r="F83" s="16">
        <v>3719804</v>
      </c>
      <c r="G83" s="16">
        <v>3509249.0566037735</v>
      </c>
      <c r="H83" s="37">
        <v>0</v>
      </c>
      <c r="I83" s="16">
        <v>0</v>
      </c>
      <c r="J83" s="15"/>
      <c r="K83" s="35">
        <v>0</v>
      </c>
      <c r="L83" s="36">
        <v>12</v>
      </c>
      <c r="M83" s="36" t="s">
        <v>67</v>
      </c>
      <c r="N83" s="38">
        <v>0</v>
      </c>
      <c r="O83" s="36" t="s">
        <v>29</v>
      </c>
      <c r="P83" s="36"/>
      <c r="Q83" s="39" t="s">
        <v>220</v>
      </c>
      <c r="R83" s="40">
        <v>1</v>
      </c>
      <c r="S83" s="68">
        <v>3509249.0566037735</v>
      </c>
      <c r="T83" s="39">
        <v>0</v>
      </c>
      <c r="U83" s="39" t="e">
        <v>#N/A</v>
      </c>
      <c r="V83" s="40" t="e">
        <v>#N/A</v>
      </c>
      <c r="W83" s="39" t="e">
        <v>#N/A</v>
      </c>
      <c r="X83" s="39" t="e">
        <v>#N/A</v>
      </c>
      <c r="Y83" s="39" t="e">
        <v>#N/A</v>
      </c>
      <c r="Z83" s="39" t="e">
        <v>#N/A</v>
      </c>
      <c r="AA83" s="39" t="e">
        <v>#N/A</v>
      </c>
      <c r="AB83" s="39" t="e">
        <v>#N/A</v>
      </c>
      <c r="AC83" s="39" t="e">
        <v>#N/A</v>
      </c>
    </row>
    <row r="84" spans="1:29" ht="16.5" x14ac:dyDescent="0.15">
      <c r="A84" s="35" t="s">
        <v>7</v>
      </c>
      <c r="B84" s="35" t="s">
        <v>203</v>
      </c>
      <c r="C84" s="36"/>
      <c r="D84" s="35" t="s">
        <v>7</v>
      </c>
      <c r="E84" s="14" t="s">
        <v>247</v>
      </c>
      <c r="F84" s="16">
        <v>4670723</v>
      </c>
      <c r="G84" s="16">
        <v>4406342.4528301889</v>
      </c>
      <c r="H84" s="37">
        <v>0</v>
      </c>
      <c r="I84" s="16">
        <v>0</v>
      </c>
      <c r="J84" s="15"/>
      <c r="K84" s="35">
        <v>0</v>
      </c>
      <c r="L84" s="36">
        <v>12</v>
      </c>
      <c r="M84" s="36" t="s">
        <v>57</v>
      </c>
      <c r="N84" s="38">
        <v>0</v>
      </c>
      <c r="O84" s="36" t="s">
        <v>29</v>
      </c>
      <c r="P84" s="36"/>
      <c r="Q84" s="39" t="s">
        <v>220</v>
      </c>
      <c r="R84" s="40">
        <v>1</v>
      </c>
      <c r="S84" s="68">
        <v>4406342.4528301889</v>
      </c>
      <c r="T84" s="39">
        <v>0</v>
      </c>
      <c r="U84" s="39" t="e">
        <v>#N/A</v>
      </c>
      <c r="V84" s="40" t="e">
        <v>#N/A</v>
      </c>
      <c r="W84" s="39" t="e">
        <v>#N/A</v>
      </c>
      <c r="X84" s="39" t="e">
        <v>#N/A</v>
      </c>
      <c r="Y84" s="39" t="e">
        <v>#N/A</v>
      </c>
      <c r="Z84" s="39" t="e">
        <v>#N/A</v>
      </c>
      <c r="AA84" s="39" t="e">
        <v>#N/A</v>
      </c>
      <c r="AB84" s="39" t="e">
        <v>#N/A</v>
      </c>
      <c r="AC84" s="39" t="e">
        <v>#N/A</v>
      </c>
    </row>
    <row r="85" spans="1:29" ht="16.5" x14ac:dyDescent="0.15">
      <c r="A85" s="35" t="s">
        <v>7</v>
      </c>
      <c r="B85" s="35" t="s">
        <v>203</v>
      </c>
      <c r="C85" s="36"/>
      <c r="D85" s="35" t="s">
        <v>7</v>
      </c>
      <c r="E85" s="14" t="s">
        <v>247</v>
      </c>
      <c r="F85" s="16">
        <v>4137800</v>
      </c>
      <c r="G85" s="16">
        <v>3903584.9056603773</v>
      </c>
      <c r="H85" s="37">
        <v>0</v>
      </c>
      <c r="I85" s="16">
        <v>0</v>
      </c>
      <c r="J85" s="15"/>
      <c r="K85" s="35">
        <v>0</v>
      </c>
      <c r="L85" s="36">
        <v>12</v>
      </c>
      <c r="M85" s="36" t="s">
        <v>57</v>
      </c>
      <c r="N85" s="38">
        <v>0</v>
      </c>
      <c r="O85" s="36" t="s">
        <v>29</v>
      </c>
      <c r="P85" s="36"/>
      <c r="Q85" s="39" t="s">
        <v>220</v>
      </c>
      <c r="R85" s="40">
        <v>1</v>
      </c>
      <c r="S85" s="68">
        <v>3903584.9056603773</v>
      </c>
      <c r="T85" s="39">
        <v>0</v>
      </c>
      <c r="U85" s="39" t="e">
        <v>#N/A</v>
      </c>
      <c r="V85" s="40" t="e">
        <v>#N/A</v>
      </c>
      <c r="W85" s="39" t="e">
        <v>#N/A</v>
      </c>
      <c r="X85" s="39" t="e">
        <v>#N/A</v>
      </c>
      <c r="Y85" s="39" t="e">
        <v>#N/A</v>
      </c>
      <c r="Z85" s="39" t="e">
        <v>#N/A</v>
      </c>
      <c r="AA85" s="39" t="e">
        <v>#N/A</v>
      </c>
      <c r="AB85" s="39" t="e">
        <v>#N/A</v>
      </c>
      <c r="AC85" s="39" t="e">
        <v>#N/A</v>
      </c>
    </row>
    <row r="86" spans="1:29" ht="16.5" x14ac:dyDescent="0.15">
      <c r="A86" s="35" t="s">
        <v>71</v>
      </c>
      <c r="B86" s="35" t="s">
        <v>203</v>
      </c>
      <c r="C86" s="36"/>
      <c r="D86" s="35" t="s">
        <v>7</v>
      </c>
      <c r="E86" s="14" t="s">
        <v>248</v>
      </c>
      <c r="F86" s="16">
        <v>442054.16</v>
      </c>
      <c r="G86" s="16">
        <v>417032.22641509428</v>
      </c>
      <c r="H86" s="37">
        <v>0</v>
      </c>
      <c r="I86" s="16">
        <v>0</v>
      </c>
      <c r="J86" s="15"/>
      <c r="K86" s="35">
        <v>0</v>
      </c>
      <c r="L86" s="36">
        <v>12</v>
      </c>
      <c r="M86" s="36" t="s">
        <v>64</v>
      </c>
      <c r="N86" s="38">
        <v>0</v>
      </c>
      <c r="O86" s="36" t="s">
        <v>74</v>
      </c>
      <c r="P86" s="36"/>
      <c r="Q86" s="39" t="s">
        <v>220</v>
      </c>
      <c r="R86" s="40">
        <v>1</v>
      </c>
      <c r="S86" s="68">
        <v>417032.22641509428</v>
      </c>
      <c r="T86" s="39">
        <v>0</v>
      </c>
      <c r="U86" s="39" t="e">
        <v>#N/A</v>
      </c>
      <c r="V86" s="40" t="e">
        <v>#N/A</v>
      </c>
      <c r="W86" s="39" t="e">
        <v>#N/A</v>
      </c>
      <c r="X86" s="39" t="e">
        <v>#N/A</v>
      </c>
      <c r="Y86" s="39" t="e">
        <v>#N/A</v>
      </c>
      <c r="Z86" s="39" t="e">
        <v>#N/A</v>
      </c>
      <c r="AA86" s="39" t="e">
        <v>#N/A</v>
      </c>
      <c r="AB86" s="39" t="e">
        <v>#N/A</v>
      </c>
      <c r="AC86" s="39" t="e">
        <v>#N/A</v>
      </c>
    </row>
    <row r="87" spans="1:29" ht="16.5" x14ac:dyDescent="0.15">
      <c r="A87" s="35" t="s">
        <v>7</v>
      </c>
      <c r="B87" s="35" t="s">
        <v>203</v>
      </c>
      <c r="C87" s="36"/>
      <c r="D87" s="35" t="s">
        <v>7</v>
      </c>
      <c r="E87" s="14" t="s">
        <v>249</v>
      </c>
      <c r="F87" s="16">
        <v>48341.75</v>
      </c>
      <c r="G87" s="16">
        <v>45605.424528301883</v>
      </c>
      <c r="H87" s="37">
        <v>0</v>
      </c>
      <c r="I87" s="16">
        <v>0</v>
      </c>
      <c r="J87" s="15"/>
      <c r="K87" s="35">
        <v>0</v>
      </c>
      <c r="L87" s="36">
        <v>12</v>
      </c>
      <c r="M87" s="36" t="s">
        <v>57</v>
      </c>
      <c r="N87" s="38">
        <v>0</v>
      </c>
      <c r="O87" s="36" t="s">
        <v>29</v>
      </c>
      <c r="P87" s="36"/>
      <c r="Q87" s="39" t="s">
        <v>220</v>
      </c>
      <c r="R87" s="40">
        <v>1</v>
      </c>
      <c r="S87" s="68">
        <v>45605.424528301883</v>
      </c>
      <c r="T87" s="39">
        <v>0</v>
      </c>
      <c r="U87" s="39" t="e">
        <v>#N/A</v>
      </c>
      <c r="V87" s="40" t="e">
        <v>#N/A</v>
      </c>
      <c r="W87" s="39" t="e">
        <v>#N/A</v>
      </c>
      <c r="X87" s="39" t="e">
        <v>#N/A</v>
      </c>
      <c r="Y87" s="39" t="e">
        <v>#N/A</v>
      </c>
      <c r="Z87" s="39" t="e">
        <v>#N/A</v>
      </c>
      <c r="AA87" s="39" t="e">
        <v>#N/A</v>
      </c>
      <c r="AB87" s="39" t="e">
        <v>#N/A</v>
      </c>
      <c r="AC87" s="39" t="e">
        <v>#N/A</v>
      </c>
    </row>
    <row r="88" spans="1:29" ht="16.5" x14ac:dyDescent="0.15">
      <c r="A88" s="35" t="s">
        <v>7</v>
      </c>
      <c r="B88" s="35" t="s">
        <v>203</v>
      </c>
      <c r="C88" s="36"/>
      <c r="D88" s="35" t="s">
        <v>7</v>
      </c>
      <c r="E88" s="14" t="s">
        <v>250</v>
      </c>
      <c r="F88" s="16">
        <v>33917.699999999997</v>
      </c>
      <c r="G88" s="16">
        <v>31997.83018867924</v>
      </c>
      <c r="H88" s="37">
        <v>0</v>
      </c>
      <c r="I88" s="16">
        <v>0</v>
      </c>
      <c r="J88" s="15"/>
      <c r="K88" s="35">
        <v>0</v>
      </c>
      <c r="L88" s="36">
        <v>12</v>
      </c>
      <c r="M88" s="36" t="s">
        <v>57</v>
      </c>
      <c r="N88" s="38">
        <v>0</v>
      </c>
      <c r="O88" s="36" t="s">
        <v>29</v>
      </c>
      <c r="P88" s="36"/>
      <c r="Q88" s="39" t="s">
        <v>220</v>
      </c>
      <c r="R88" s="40">
        <v>1</v>
      </c>
      <c r="S88" s="68">
        <v>31997.83018867924</v>
      </c>
      <c r="T88" s="39">
        <v>0</v>
      </c>
      <c r="U88" s="39" t="e">
        <v>#N/A</v>
      </c>
      <c r="V88" s="40" t="e">
        <v>#N/A</v>
      </c>
      <c r="W88" s="39" t="e">
        <v>#N/A</v>
      </c>
      <c r="X88" s="39" t="e">
        <v>#N/A</v>
      </c>
      <c r="Y88" s="39" t="e">
        <v>#N/A</v>
      </c>
      <c r="Z88" s="39" t="e">
        <v>#N/A</v>
      </c>
      <c r="AA88" s="39" t="e">
        <v>#N/A</v>
      </c>
      <c r="AB88" s="39" t="e">
        <v>#N/A</v>
      </c>
      <c r="AC88" s="39" t="e">
        <v>#N/A</v>
      </c>
    </row>
    <row r="89" spans="1:29" ht="16.5" x14ac:dyDescent="0.15">
      <c r="A89" s="35" t="s">
        <v>7</v>
      </c>
      <c r="B89" s="35" t="s">
        <v>203</v>
      </c>
      <c r="C89" s="36"/>
      <c r="D89" s="35" t="s">
        <v>7</v>
      </c>
      <c r="E89" s="14" t="s">
        <v>249</v>
      </c>
      <c r="F89" s="16">
        <v>48341.75</v>
      </c>
      <c r="G89" s="16">
        <v>45605.424528301883</v>
      </c>
      <c r="H89" s="37">
        <v>0</v>
      </c>
      <c r="I89" s="16">
        <v>0</v>
      </c>
      <c r="J89" s="15"/>
      <c r="K89" s="35">
        <v>0</v>
      </c>
      <c r="L89" s="36">
        <v>12</v>
      </c>
      <c r="M89" s="36" t="s">
        <v>57</v>
      </c>
      <c r="N89" s="38">
        <v>0</v>
      </c>
      <c r="O89" s="36" t="s">
        <v>29</v>
      </c>
      <c r="P89" s="36"/>
      <c r="Q89" s="39" t="s">
        <v>220</v>
      </c>
      <c r="R89" s="40">
        <v>1</v>
      </c>
      <c r="S89" s="68">
        <v>45605.424528301883</v>
      </c>
      <c r="T89" s="39">
        <v>0</v>
      </c>
      <c r="U89" s="39" t="e">
        <v>#N/A</v>
      </c>
      <c r="V89" s="40" t="e">
        <v>#N/A</v>
      </c>
      <c r="W89" s="39" t="e">
        <v>#N/A</v>
      </c>
      <c r="X89" s="39" t="e">
        <v>#N/A</v>
      </c>
      <c r="Y89" s="39" t="e">
        <v>#N/A</v>
      </c>
      <c r="Z89" s="39" t="e">
        <v>#N/A</v>
      </c>
      <c r="AA89" s="39" t="e">
        <v>#N/A</v>
      </c>
      <c r="AB89" s="39" t="e">
        <v>#N/A</v>
      </c>
      <c r="AC89" s="39" t="e">
        <v>#N/A</v>
      </c>
    </row>
    <row r="90" spans="1:29" ht="16.5" x14ac:dyDescent="0.15">
      <c r="A90" s="35" t="s">
        <v>7</v>
      </c>
      <c r="B90" s="35" t="s">
        <v>203</v>
      </c>
      <c r="C90" s="36"/>
      <c r="D90" s="35" t="s">
        <v>7</v>
      </c>
      <c r="E90" s="14" t="s">
        <v>250</v>
      </c>
      <c r="F90" s="16">
        <v>33917.699999999997</v>
      </c>
      <c r="G90" s="16">
        <v>31997.83018867924</v>
      </c>
      <c r="H90" s="37">
        <v>0</v>
      </c>
      <c r="I90" s="16">
        <v>0</v>
      </c>
      <c r="J90" s="15"/>
      <c r="K90" s="35">
        <v>0</v>
      </c>
      <c r="L90" s="36">
        <v>12</v>
      </c>
      <c r="M90" s="36" t="s">
        <v>57</v>
      </c>
      <c r="N90" s="38" t="s">
        <v>155</v>
      </c>
      <c r="O90" s="36" t="s">
        <v>29</v>
      </c>
      <c r="P90" s="36"/>
      <c r="Q90" s="39" t="s">
        <v>220</v>
      </c>
      <c r="R90" s="40">
        <v>1</v>
      </c>
      <c r="S90" s="68">
        <v>31997.83018867924</v>
      </c>
      <c r="T90" s="39">
        <v>0</v>
      </c>
      <c r="U90" s="39" t="e">
        <v>#N/A</v>
      </c>
      <c r="V90" s="40" t="e">
        <v>#N/A</v>
      </c>
      <c r="W90" s="39" t="e">
        <v>#N/A</v>
      </c>
      <c r="X90" s="39" t="e">
        <v>#N/A</v>
      </c>
      <c r="Y90" s="39" t="e">
        <v>#N/A</v>
      </c>
      <c r="Z90" s="39" t="e">
        <v>#N/A</v>
      </c>
      <c r="AA90" s="39" t="e">
        <v>#N/A</v>
      </c>
      <c r="AB90" s="39" t="e">
        <v>#N/A</v>
      </c>
      <c r="AC90" s="39" t="e">
        <v>#N/A</v>
      </c>
    </row>
    <row r="91" spans="1:29" ht="16.5" x14ac:dyDescent="0.15">
      <c r="A91" s="35" t="s">
        <v>7</v>
      </c>
      <c r="B91" s="35" t="s">
        <v>203</v>
      </c>
      <c r="C91" s="36"/>
      <c r="D91" s="35" t="s">
        <v>7</v>
      </c>
      <c r="E91" s="14" t="s">
        <v>249</v>
      </c>
      <c r="F91" s="16">
        <v>48341.75</v>
      </c>
      <c r="G91" s="16">
        <v>45605.424528301883</v>
      </c>
      <c r="H91" s="37">
        <v>0</v>
      </c>
      <c r="I91" s="16">
        <v>0</v>
      </c>
      <c r="J91" s="15"/>
      <c r="K91" s="35">
        <v>0</v>
      </c>
      <c r="L91" s="36">
        <v>12</v>
      </c>
      <c r="M91" s="36" t="s">
        <v>64</v>
      </c>
      <c r="N91" s="38">
        <v>0</v>
      </c>
      <c r="O91" s="36" t="s">
        <v>29</v>
      </c>
      <c r="P91" s="36"/>
      <c r="Q91" s="39" t="s">
        <v>220</v>
      </c>
      <c r="R91" s="40">
        <v>1</v>
      </c>
      <c r="S91" s="68">
        <v>45605.424528301883</v>
      </c>
      <c r="T91" s="39">
        <v>0</v>
      </c>
      <c r="U91" s="39" t="e">
        <v>#N/A</v>
      </c>
      <c r="V91" s="40" t="e">
        <v>#N/A</v>
      </c>
      <c r="W91" s="39" t="e">
        <v>#N/A</v>
      </c>
      <c r="X91" s="39" t="e">
        <v>#N/A</v>
      </c>
      <c r="Y91" s="39" t="e">
        <v>#N/A</v>
      </c>
      <c r="Z91" s="39" t="e">
        <v>#N/A</v>
      </c>
      <c r="AA91" s="39" t="e">
        <v>#N/A</v>
      </c>
      <c r="AB91" s="39" t="e">
        <v>#N/A</v>
      </c>
      <c r="AC91" s="39" t="e">
        <v>#N/A</v>
      </c>
    </row>
    <row r="92" spans="1:29" ht="16.5" x14ac:dyDescent="0.15">
      <c r="A92" s="35" t="s">
        <v>7</v>
      </c>
      <c r="B92" s="35" t="s">
        <v>203</v>
      </c>
      <c r="C92" s="36"/>
      <c r="D92" s="35" t="s">
        <v>7</v>
      </c>
      <c r="E92" s="14" t="s">
        <v>250</v>
      </c>
      <c r="F92" s="16">
        <v>33917.699999999997</v>
      </c>
      <c r="G92" s="16">
        <v>31997.83018867924</v>
      </c>
      <c r="H92" s="37">
        <v>0</v>
      </c>
      <c r="I92" s="16">
        <v>0</v>
      </c>
      <c r="J92" s="15"/>
      <c r="K92" s="35">
        <v>0</v>
      </c>
      <c r="L92" s="36">
        <v>12</v>
      </c>
      <c r="M92" s="36" t="s">
        <v>64</v>
      </c>
      <c r="N92" s="38">
        <v>0</v>
      </c>
      <c r="O92" s="36" t="s">
        <v>29</v>
      </c>
      <c r="P92" s="36"/>
      <c r="Q92" s="39" t="s">
        <v>220</v>
      </c>
      <c r="R92" s="40">
        <v>1</v>
      </c>
      <c r="S92" s="68">
        <v>31997.83018867924</v>
      </c>
      <c r="T92" s="39">
        <v>0</v>
      </c>
      <c r="U92" s="39" t="e">
        <v>#N/A</v>
      </c>
      <c r="V92" s="40" t="e">
        <v>#N/A</v>
      </c>
      <c r="W92" s="39" t="e">
        <v>#N/A</v>
      </c>
      <c r="X92" s="39" t="e">
        <v>#N/A</v>
      </c>
      <c r="Y92" s="39" t="e">
        <v>#N/A</v>
      </c>
      <c r="Z92" s="39" t="e">
        <v>#N/A</v>
      </c>
      <c r="AA92" s="39" t="e">
        <v>#N/A</v>
      </c>
      <c r="AB92" s="39" t="e">
        <v>#N/A</v>
      </c>
      <c r="AC92" s="39" t="e">
        <v>#N/A</v>
      </c>
    </row>
    <row r="93" spans="1:29" ht="16.5" x14ac:dyDescent="0.15">
      <c r="A93" s="35" t="s">
        <v>7</v>
      </c>
      <c r="B93" s="35" t="s">
        <v>203</v>
      </c>
      <c r="C93" s="36"/>
      <c r="D93" s="35" t="s">
        <v>7</v>
      </c>
      <c r="E93" s="14" t="s">
        <v>251</v>
      </c>
      <c r="F93" s="16">
        <v>249507.13</v>
      </c>
      <c r="G93" s="16">
        <v>235384.08490566036</v>
      </c>
      <c r="H93" s="37">
        <v>0</v>
      </c>
      <c r="I93" s="16">
        <v>0</v>
      </c>
      <c r="J93" s="15"/>
      <c r="K93" s="35">
        <v>0</v>
      </c>
      <c r="L93" s="36">
        <v>12</v>
      </c>
      <c r="M93" s="36" t="s">
        <v>64</v>
      </c>
      <c r="N93" s="38">
        <v>0</v>
      </c>
      <c r="O93" s="36" t="s">
        <v>29</v>
      </c>
      <c r="P93" s="36"/>
      <c r="Q93" s="39" t="s">
        <v>220</v>
      </c>
      <c r="R93" s="40">
        <v>1</v>
      </c>
      <c r="S93" s="68">
        <v>235384.08490566036</v>
      </c>
      <c r="T93" s="39">
        <v>0</v>
      </c>
      <c r="U93" s="39" t="e">
        <v>#N/A</v>
      </c>
      <c r="V93" s="40" t="e">
        <v>#N/A</v>
      </c>
      <c r="W93" s="39" t="e">
        <v>#N/A</v>
      </c>
      <c r="X93" s="39" t="e">
        <v>#N/A</v>
      </c>
      <c r="Y93" s="39" t="e">
        <v>#N/A</v>
      </c>
      <c r="Z93" s="39" t="e">
        <v>#N/A</v>
      </c>
      <c r="AA93" s="39" t="e">
        <v>#N/A</v>
      </c>
      <c r="AB93" s="39" t="e">
        <v>#N/A</v>
      </c>
      <c r="AC93" s="39" t="e">
        <v>#N/A</v>
      </c>
    </row>
    <row r="94" spans="1:29" ht="16.5" x14ac:dyDescent="0.15">
      <c r="A94" s="35" t="s">
        <v>7</v>
      </c>
      <c r="B94" s="35" t="s">
        <v>203</v>
      </c>
      <c r="C94" s="36"/>
      <c r="D94" s="35" t="s">
        <v>7</v>
      </c>
      <c r="E94" s="14" t="s">
        <v>251</v>
      </c>
      <c r="F94" s="16">
        <v>249507.13</v>
      </c>
      <c r="G94" s="16">
        <v>235384.08490566036</v>
      </c>
      <c r="H94" s="37">
        <v>0</v>
      </c>
      <c r="I94" s="16">
        <v>0</v>
      </c>
      <c r="J94" s="15"/>
      <c r="K94" s="35">
        <v>0</v>
      </c>
      <c r="L94" s="36">
        <v>12</v>
      </c>
      <c r="M94" s="157" t="s">
        <v>64</v>
      </c>
      <c r="N94" s="160">
        <v>0</v>
      </c>
      <c r="O94" s="36" t="s">
        <v>29</v>
      </c>
      <c r="P94" s="36"/>
      <c r="Q94" s="39" t="s">
        <v>220</v>
      </c>
      <c r="R94" s="40">
        <v>1</v>
      </c>
      <c r="S94" s="68">
        <v>235384.08490566036</v>
      </c>
      <c r="T94" s="39">
        <v>0</v>
      </c>
      <c r="U94" s="39" t="e">
        <v>#N/A</v>
      </c>
      <c r="V94" s="40" t="e">
        <v>#N/A</v>
      </c>
      <c r="W94" s="39" t="e">
        <v>#N/A</v>
      </c>
      <c r="X94" s="39" t="e">
        <v>#N/A</v>
      </c>
      <c r="Y94" s="39" t="e">
        <v>#N/A</v>
      </c>
      <c r="Z94" s="39" t="e">
        <v>#N/A</v>
      </c>
      <c r="AA94" s="174" t="e">
        <v>#N/A</v>
      </c>
      <c r="AB94" s="39" t="e">
        <v>#N/A</v>
      </c>
      <c r="AC94" s="163" t="e">
        <v>#N/A</v>
      </c>
    </row>
    <row r="95" spans="1:29" ht="16.5" x14ac:dyDescent="0.15">
      <c r="A95" s="35" t="s">
        <v>7</v>
      </c>
      <c r="B95" s="35" t="s">
        <v>203</v>
      </c>
      <c r="C95" s="36"/>
      <c r="D95" s="35" t="s">
        <v>7</v>
      </c>
      <c r="E95" s="14" t="s">
        <v>251</v>
      </c>
      <c r="F95" s="16">
        <v>249507.13</v>
      </c>
      <c r="G95" s="16">
        <v>235384.08490566036</v>
      </c>
      <c r="H95" s="37">
        <v>0</v>
      </c>
      <c r="I95" s="16">
        <v>0</v>
      </c>
      <c r="J95" s="15"/>
      <c r="K95" s="35">
        <v>0</v>
      </c>
      <c r="L95" s="36">
        <v>12</v>
      </c>
      <c r="M95" s="36" t="s">
        <v>57</v>
      </c>
      <c r="N95" s="38">
        <v>0</v>
      </c>
      <c r="O95" s="36" t="s">
        <v>29</v>
      </c>
      <c r="P95" s="36"/>
      <c r="Q95" s="39" t="s">
        <v>220</v>
      </c>
      <c r="R95" s="40">
        <v>1</v>
      </c>
      <c r="S95" s="68">
        <v>235384.08490566036</v>
      </c>
      <c r="T95" s="39">
        <v>0</v>
      </c>
      <c r="U95" s="39" t="e">
        <v>#N/A</v>
      </c>
      <c r="V95" s="40" t="e">
        <v>#N/A</v>
      </c>
      <c r="W95" s="39" t="e">
        <v>#N/A</v>
      </c>
      <c r="X95" s="39" t="e">
        <v>#N/A</v>
      </c>
      <c r="Y95" s="39" t="e">
        <v>#N/A</v>
      </c>
      <c r="Z95" s="39" t="e">
        <v>#N/A</v>
      </c>
      <c r="AA95" s="39" t="e">
        <v>#N/A</v>
      </c>
      <c r="AB95" s="163" t="e">
        <v>#N/A</v>
      </c>
      <c r="AC95" s="163" t="e">
        <v>#N/A</v>
      </c>
    </row>
    <row r="96" spans="1:29" ht="16.5" x14ac:dyDescent="0.35">
      <c r="A96" s="35" t="s">
        <v>7</v>
      </c>
      <c r="B96" s="35" t="s">
        <v>211</v>
      </c>
      <c r="C96" s="12"/>
      <c r="D96" s="35" t="s">
        <v>7</v>
      </c>
      <c r="E96" s="41" t="s">
        <v>252</v>
      </c>
      <c r="F96" s="42">
        <v>153000</v>
      </c>
      <c r="G96" s="42">
        <v>144339.62264150943</v>
      </c>
      <c r="H96" s="19">
        <v>0.41489999999999999</v>
      </c>
      <c r="I96" s="42">
        <v>59886.509433962259</v>
      </c>
      <c r="J96" s="43"/>
      <c r="K96" s="35" t="s">
        <v>253</v>
      </c>
      <c r="L96" s="35">
        <v>10</v>
      </c>
      <c r="M96" s="35" t="s">
        <v>57</v>
      </c>
      <c r="N96" s="44"/>
      <c r="O96" s="35" t="s">
        <v>29</v>
      </c>
      <c r="P96" s="19" t="s">
        <v>254</v>
      </c>
      <c r="Q96" s="39" t="s">
        <v>226</v>
      </c>
      <c r="R96" s="40">
        <v>1</v>
      </c>
      <c r="S96" s="69">
        <v>144339.62264150943</v>
      </c>
      <c r="T96" s="39">
        <v>59887</v>
      </c>
      <c r="U96" s="39"/>
      <c r="V96" s="39"/>
      <c r="W96" s="39"/>
      <c r="X96" s="39"/>
      <c r="Y96" s="39"/>
      <c r="Z96" s="39"/>
      <c r="AA96" s="39"/>
      <c r="AB96" s="163"/>
      <c r="AC96" s="163"/>
    </row>
    <row r="97" spans="1:29" ht="16.5" x14ac:dyDescent="0.35">
      <c r="A97" s="35" t="s">
        <v>69</v>
      </c>
      <c r="B97" s="35" t="s">
        <v>211</v>
      </c>
      <c r="C97" s="12"/>
      <c r="D97" s="35" t="s">
        <v>69</v>
      </c>
      <c r="E97" s="41" t="s">
        <v>70</v>
      </c>
      <c r="F97" s="42"/>
      <c r="G97" s="42"/>
      <c r="H97" s="19"/>
      <c r="I97" s="42">
        <v>628185.55754716985</v>
      </c>
      <c r="J97" s="43"/>
      <c r="K97" s="35"/>
      <c r="L97" s="35">
        <v>10</v>
      </c>
      <c r="M97" s="35" t="s">
        <v>57</v>
      </c>
      <c r="N97" s="44">
        <v>628185.55754716985</v>
      </c>
      <c r="O97" s="35" t="s">
        <v>29</v>
      </c>
      <c r="P97" s="19"/>
      <c r="Q97" s="39"/>
      <c r="R97" s="40"/>
      <c r="S97" s="39"/>
      <c r="T97" s="39"/>
      <c r="U97" s="39"/>
      <c r="V97" s="39"/>
      <c r="W97" s="39"/>
      <c r="X97" s="39"/>
      <c r="Y97" s="39"/>
      <c r="Z97" s="39"/>
      <c r="AA97" s="39"/>
      <c r="AB97" s="163"/>
      <c r="AC97" s="163"/>
    </row>
    <row r="98" spans="1:29" ht="16.5" x14ac:dyDescent="0.35">
      <c r="A98" s="35" t="s">
        <v>36</v>
      </c>
      <c r="B98" s="35" t="s">
        <v>203</v>
      </c>
      <c r="C98" s="12"/>
      <c r="D98" s="35" t="s">
        <v>36</v>
      </c>
      <c r="E98" s="41" t="s">
        <v>255</v>
      </c>
      <c r="F98" s="42">
        <v>35000</v>
      </c>
      <c r="G98" s="42">
        <v>33018.867924528298</v>
      </c>
      <c r="H98" s="19">
        <v>1</v>
      </c>
      <c r="I98" s="42">
        <v>33018.867924528298</v>
      </c>
      <c r="J98" s="43"/>
      <c r="K98" s="35" t="s">
        <v>256</v>
      </c>
      <c r="L98" s="35">
        <v>10</v>
      </c>
      <c r="M98" s="35" t="s">
        <v>57</v>
      </c>
      <c r="N98" s="44"/>
      <c r="O98" s="35" t="s">
        <v>40</v>
      </c>
      <c r="P98" s="19" t="s">
        <v>257</v>
      </c>
      <c r="Q98" s="39" t="s">
        <v>238</v>
      </c>
      <c r="R98" s="40">
        <v>1</v>
      </c>
      <c r="S98" s="39">
        <v>33019</v>
      </c>
      <c r="T98" s="39">
        <v>33019</v>
      </c>
      <c r="U98" s="39"/>
      <c r="V98" s="39"/>
      <c r="W98" s="39"/>
      <c r="X98" s="39"/>
      <c r="Y98" s="39"/>
      <c r="Z98" s="39"/>
      <c r="AA98" s="39"/>
      <c r="AB98" s="163"/>
      <c r="AC98" s="163"/>
    </row>
    <row r="99" spans="1:29" ht="16.5" x14ac:dyDescent="0.35">
      <c r="A99" s="35" t="s">
        <v>7</v>
      </c>
      <c r="B99" s="35" t="s">
        <v>203</v>
      </c>
      <c r="C99" s="12"/>
      <c r="D99" s="35" t="s">
        <v>7</v>
      </c>
      <c r="E99" s="41" t="s">
        <v>232</v>
      </c>
      <c r="F99" s="42">
        <v>4800000</v>
      </c>
      <c r="G99" s="42">
        <v>4528301.886792453</v>
      </c>
      <c r="H99" s="19">
        <v>0.35750000000000004</v>
      </c>
      <c r="I99" s="42">
        <v>1618867.9245283022</v>
      </c>
      <c r="J99" s="43"/>
      <c r="K99" s="35" t="s">
        <v>233</v>
      </c>
      <c r="L99" s="35">
        <v>10</v>
      </c>
      <c r="M99" s="35" t="s">
        <v>57</v>
      </c>
      <c r="N99" s="44"/>
      <c r="O99" s="35" t="s">
        <v>29</v>
      </c>
      <c r="P99" s="19" t="s">
        <v>258</v>
      </c>
      <c r="Q99" s="39" t="s">
        <v>234</v>
      </c>
      <c r="R99" s="40">
        <v>1</v>
      </c>
      <c r="S99" s="39">
        <v>4528302</v>
      </c>
      <c r="T99" s="39">
        <v>1618868</v>
      </c>
      <c r="U99" s="39"/>
      <c r="V99" s="39"/>
      <c r="W99" s="39"/>
      <c r="X99" s="39"/>
      <c r="Y99" s="39"/>
      <c r="Z99" s="39"/>
      <c r="AA99" s="39"/>
      <c r="AB99" s="163"/>
      <c r="AC99" s="163"/>
    </row>
    <row r="100" spans="1:29" ht="16.5" x14ac:dyDescent="0.35">
      <c r="A100" s="35" t="s">
        <v>7</v>
      </c>
      <c r="B100" s="35" t="s">
        <v>203</v>
      </c>
      <c r="C100" s="12"/>
      <c r="D100" s="35" t="s">
        <v>7</v>
      </c>
      <c r="E100" s="41" t="s">
        <v>259</v>
      </c>
      <c r="F100" s="42">
        <v>276000</v>
      </c>
      <c r="G100" s="42">
        <v>260377.35849056602</v>
      </c>
      <c r="H100" s="19">
        <v>0.39189999999999997</v>
      </c>
      <c r="I100" s="42">
        <v>102041.88679245282</v>
      </c>
      <c r="J100" s="43"/>
      <c r="K100" s="35" t="s">
        <v>231</v>
      </c>
      <c r="L100" s="35">
        <v>10</v>
      </c>
      <c r="M100" s="35" t="s">
        <v>57</v>
      </c>
      <c r="N100" s="44"/>
      <c r="O100" s="35" t="s">
        <v>29</v>
      </c>
      <c r="P100" s="19" t="s">
        <v>260</v>
      </c>
      <c r="Q100" s="39" t="s">
        <v>226</v>
      </c>
      <c r="R100" s="40">
        <v>1</v>
      </c>
      <c r="S100" s="39">
        <v>260377</v>
      </c>
      <c r="T100" s="39">
        <v>102042</v>
      </c>
      <c r="U100" s="39"/>
      <c r="V100" s="39"/>
      <c r="W100" s="39"/>
      <c r="X100" s="39"/>
      <c r="Y100" s="39"/>
      <c r="Z100" s="39"/>
      <c r="AA100" s="39"/>
      <c r="AB100" s="163"/>
      <c r="AC100" s="163"/>
    </row>
    <row r="101" spans="1:29" ht="16.5" x14ac:dyDescent="0.15">
      <c r="A101" s="35" t="s">
        <v>71</v>
      </c>
      <c r="B101" s="35" t="s">
        <v>216</v>
      </c>
      <c r="C101" s="36"/>
      <c r="D101" s="35" t="s">
        <v>7</v>
      </c>
      <c r="E101" s="14" t="s">
        <v>261</v>
      </c>
      <c r="F101" s="16">
        <v>8518.5</v>
      </c>
      <c r="G101" s="16">
        <v>7280.7692307692314</v>
      </c>
      <c r="H101" s="37">
        <v>3.4999999999999996E-2</v>
      </c>
      <c r="I101" s="16">
        <v>254.82692307692307</v>
      </c>
      <c r="J101" s="15"/>
      <c r="K101" s="35" t="s">
        <v>262</v>
      </c>
      <c r="L101" s="36">
        <v>11</v>
      </c>
      <c r="M101" s="36" t="s">
        <v>57</v>
      </c>
      <c r="N101" s="38">
        <v>0</v>
      </c>
      <c r="O101" s="36" t="s">
        <v>74</v>
      </c>
      <c r="P101" s="36"/>
      <c r="Q101" s="163" t="s">
        <v>226</v>
      </c>
      <c r="R101" s="169">
        <v>1</v>
      </c>
      <c r="S101" s="171">
        <v>7280.7692307692314</v>
      </c>
      <c r="T101" s="171">
        <v>254.82692307692307</v>
      </c>
      <c r="U101" s="163"/>
      <c r="V101" s="163"/>
      <c r="W101" s="163"/>
      <c r="X101" s="163"/>
      <c r="Y101" s="163"/>
      <c r="Z101" s="163"/>
      <c r="AA101" s="163"/>
      <c r="AB101" s="163"/>
      <c r="AC101" s="163"/>
    </row>
    <row r="102" spans="1:29" ht="16.5" x14ac:dyDescent="0.15">
      <c r="A102" s="35" t="s">
        <v>71</v>
      </c>
      <c r="B102" s="35" t="s">
        <v>216</v>
      </c>
      <c r="C102" s="36"/>
      <c r="D102" s="35" t="s">
        <v>7</v>
      </c>
      <c r="E102" s="14" t="s">
        <v>263</v>
      </c>
      <c r="F102" s="16">
        <v>946.5</v>
      </c>
      <c r="G102" s="16">
        <v>808.97435897435901</v>
      </c>
      <c r="H102" s="37">
        <v>3.5000000000000003E-2</v>
      </c>
      <c r="I102" s="16">
        <v>28.314102564102569</v>
      </c>
      <c r="J102" s="15"/>
      <c r="K102" s="35" t="s">
        <v>264</v>
      </c>
      <c r="L102" s="36">
        <v>11</v>
      </c>
      <c r="M102" s="36" t="s">
        <v>57</v>
      </c>
      <c r="N102" s="38">
        <v>0</v>
      </c>
      <c r="O102" s="36" t="s">
        <v>74</v>
      </c>
      <c r="P102" s="36"/>
      <c r="Q102" s="39" t="s">
        <v>226</v>
      </c>
      <c r="R102" s="40">
        <v>1</v>
      </c>
      <c r="S102" s="68">
        <v>808.97435897435901</v>
      </c>
      <c r="T102" s="68">
        <v>28.314102564102569</v>
      </c>
      <c r="U102" s="39"/>
      <c r="V102" s="39"/>
      <c r="W102" s="39"/>
      <c r="X102" s="39"/>
      <c r="Y102" s="39"/>
      <c r="Z102" s="39"/>
      <c r="AA102" s="39"/>
      <c r="AB102" s="39"/>
      <c r="AC102" s="39"/>
    </row>
    <row r="103" spans="1:29" ht="16.5" x14ac:dyDescent="0.15">
      <c r="A103" s="35" t="s">
        <v>71</v>
      </c>
      <c r="B103" s="35" t="s">
        <v>216</v>
      </c>
      <c r="C103" s="36"/>
      <c r="D103" s="35" t="s">
        <v>7</v>
      </c>
      <c r="E103" s="14" t="s">
        <v>265</v>
      </c>
      <c r="F103" s="16">
        <v>151440</v>
      </c>
      <c r="G103" s="16">
        <v>129435.89743589744</v>
      </c>
      <c r="H103" s="37">
        <v>3.5000000000000003E-2</v>
      </c>
      <c r="I103" s="16">
        <v>4530.2564102564111</v>
      </c>
      <c r="J103" s="15"/>
      <c r="K103" s="35" t="s">
        <v>262</v>
      </c>
      <c r="L103" s="36">
        <v>11</v>
      </c>
      <c r="M103" s="36" t="s">
        <v>57</v>
      </c>
      <c r="N103" s="38">
        <v>0</v>
      </c>
      <c r="O103" s="36" t="s">
        <v>74</v>
      </c>
      <c r="P103" s="36"/>
      <c r="Q103" s="39" t="s">
        <v>226</v>
      </c>
      <c r="R103" s="40">
        <v>1</v>
      </c>
      <c r="S103" s="68">
        <v>129435.89743589744</v>
      </c>
      <c r="T103" s="68">
        <v>4530.2564102564111</v>
      </c>
      <c r="U103" s="39"/>
      <c r="V103" s="39"/>
      <c r="W103" s="39"/>
      <c r="X103" s="39"/>
      <c r="Y103" s="39"/>
      <c r="Z103" s="39"/>
      <c r="AA103" s="39"/>
      <c r="AB103" s="39"/>
      <c r="AC103" s="39"/>
    </row>
    <row r="104" spans="1:29" ht="16.5" x14ac:dyDescent="0.15">
      <c r="A104" s="35" t="s">
        <v>71</v>
      </c>
      <c r="B104" s="35" t="s">
        <v>216</v>
      </c>
      <c r="C104" s="36"/>
      <c r="D104" s="35" t="s">
        <v>7</v>
      </c>
      <c r="E104" s="14" t="s">
        <v>266</v>
      </c>
      <c r="F104" s="16">
        <v>21769.5</v>
      </c>
      <c r="G104" s="16">
        <v>18606.410256410258</v>
      </c>
      <c r="H104" s="37">
        <v>3.5000000000000003E-2</v>
      </c>
      <c r="I104" s="16">
        <v>651.22435897435912</v>
      </c>
      <c r="J104" s="15"/>
      <c r="K104" s="35" t="s">
        <v>264</v>
      </c>
      <c r="L104" s="36">
        <v>11</v>
      </c>
      <c r="M104" s="36" t="s">
        <v>57</v>
      </c>
      <c r="N104" s="38">
        <v>0</v>
      </c>
      <c r="O104" s="36" t="s">
        <v>74</v>
      </c>
      <c r="P104" s="36"/>
      <c r="Q104" s="39" t="s">
        <v>226</v>
      </c>
      <c r="R104" s="40">
        <v>1</v>
      </c>
      <c r="S104" s="68">
        <v>18606.410256410258</v>
      </c>
      <c r="T104" s="68">
        <v>651.22435897435912</v>
      </c>
      <c r="U104" s="39"/>
      <c r="V104" s="39"/>
      <c r="W104" s="39"/>
      <c r="X104" s="39"/>
      <c r="Y104" s="39"/>
      <c r="Z104" s="39"/>
      <c r="AA104" s="39"/>
      <c r="AB104" s="39"/>
      <c r="AC104" s="39"/>
    </row>
    <row r="105" spans="1:29" ht="16.5" x14ac:dyDescent="0.15">
      <c r="A105" s="35" t="s">
        <v>71</v>
      </c>
      <c r="B105" s="35" t="s">
        <v>216</v>
      </c>
      <c r="C105" s="48"/>
      <c r="D105" s="49" t="s">
        <v>7</v>
      </c>
      <c r="E105" s="14" t="s">
        <v>267</v>
      </c>
      <c r="F105" s="16">
        <v>47325</v>
      </c>
      <c r="G105" s="16">
        <v>40448.717948717953</v>
      </c>
      <c r="H105" s="37">
        <v>3.5000000000000003E-2</v>
      </c>
      <c r="I105" s="16">
        <v>1415.7051282051284</v>
      </c>
      <c r="J105" s="50"/>
      <c r="K105" s="35" t="s">
        <v>262</v>
      </c>
      <c r="L105" s="36">
        <v>11</v>
      </c>
      <c r="M105" s="36" t="s">
        <v>57</v>
      </c>
      <c r="N105" s="38">
        <v>0</v>
      </c>
      <c r="O105" s="36" t="s">
        <v>74</v>
      </c>
      <c r="P105" s="48"/>
      <c r="Q105" s="39" t="s">
        <v>226</v>
      </c>
      <c r="R105" s="40">
        <v>1</v>
      </c>
      <c r="S105" s="68">
        <v>40448.717948717953</v>
      </c>
      <c r="T105" s="68">
        <v>1415.7051282051284</v>
      </c>
      <c r="U105" s="39"/>
      <c r="V105" s="39"/>
      <c r="W105" s="39"/>
      <c r="X105" s="39"/>
      <c r="Y105" s="39"/>
      <c r="Z105" s="39"/>
      <c r="AA105" s="39"/>
      <c r="AB105" s="39"/>
      <c r="AC105" s="39"/>
    </row>
    <row r="106" spans="1:29" ht="16.5" x14ac:dyDescent="0.15">
      <c r="A106" s="35" t="s">
        <v>71</v>
      </c>
      <c r="B106" s="35" t="s">
        <v>216</v>
      </c>
      <c r="C106" s="48"/>
      <c r="D106" s="49" t="s">
        <v>7</v>
      </c>
      <c r="E106" s="14" t="s">
        <v>268</v>
      </c>
      <c r="F106" s="16">
        <v>4732.5</v>
      </c>
      <c r="G106" s="16">
        <v>4044.8717948717949</v>
      </c>
      <c r="H106" s="37">
        <v>3.5000000000000003E-2</v>
      </c>
      <c r="I106" s="16">
        <v>141.57051282051285</v>
      </c>
      <c r="J106" s="50"/>
      <c r="K106" s="35" t="s">
        <v>264</v>
      </c>
      <c r="L106" s="36">
        <v>11</v>
      </c>
      <c r="M106" s="36" t="s">
        <v>57</v>
      </c>
      <c r="N106" s="38">
        <v>0</v>
      </c>
      <c r="O106" s="36" t="s">
        <v>74</v>
      </c>
      <c r="P106" s="48"/>
      <c r="Q106" s="39" t="s">
        <v>226</v>
      </c>
      <c r="R106" s="40">
        <v>1</v>
      </c>
      <c r="S106" s="68">
        <v>4044.8717948717949</v>
      </c>
      <c r="T106" s="68">
        <v>141.57051282051285</v>
      </c>
      <c r="U106" s="39"/>
      <c r="V106" s="39"/>
      <c r="W106" s="39"/>
      <c r="X106" s="39"/>
      <c r="Y106" s="39"/>
      <c r="Z106" s="39"/>
      <c r="AA106" s="39"/>
      <c r="AB106" s="39"/>
      <c r="AC106" s="39"/>
    </row>
    <row r="107" spans="1:29" ht="16.5" x14ac:dyDescent="0.15">
      <c r="A107" s="35" t="s">
        <v>71</v>
      </c>
      <c r="B107" s="35" t="s">
        <v>216</v>
      </c>
      <c r="C107" s="48"/>
      <c r="D107" s="49" t="s">
        <v>7</v>
      </c>
      <c r="E107" s="14" t="s">
        <v>269</v>
      </c>
      <c r="F107" s="16">
        <v>38806.5</v>
      </c>
      <c r="G107" s="16">
        <v>33167.948717948719</v>
      </c>
      <c r="H107" s="37">
        <v>3.5000000000000003E-2</v>
      </c>
      <c r="I107" s="16">
        <v>1160.8782051282053</v>
      </c>
      <c r="J107" s="50"/>
      <c r="K107" s="35" t="s">
        <v>270</v>
      </c>
      <c r="L107" s="36">
        <v>11</v>
      </c>
      <c r="M107" s="36" t="s">
        <v>57</v>
      </c>
      <c r="N107" s="38">
        <v>0</v>
      </c>
      <c r="O107" s="36" t="s">
        <v>74</v>
      </c>
      <c r="P107" s="48"/>
      <c r="Q107" s="39" t="s">
        <v>226</v>
      </c>
      <c r="R107" s="40">
        <v>1</v>
      </c>
      <c r="S107" s="68">
        <v>33167.948717948719</v>
      </c>
      <c r="T107" s="68">
        <v>1160.8782051282053</v>
      </c>
      <c r="U107" s="39"/>
      <c r="V107" s="39"/>
      <c r="W107" s="39"/>
      <c r="X107" s="39"/>
      <c r="Y107" s="39"/>
      <c r="Z107" s="39"/>
      <c r="AA107" s="39"/>
      <c r="AB107" s="39"/>
      <c r="AC107" s="39"/>
    </row>
    <row r="108" spans="1:29" ht="16.5" x14ac:dyDescent="0.15">
      <c r="A108" s="35" t="s">
        <v>71</v>
      </c>
      <c r="B108" s="35" t="s">
        <v>216</v>
      </c>
      <c r="C108" s="48"/>
      <c r="D108" s="49" t="s">
        <v>7</v>
      </c>
      <c r="E108" s="14" t="s">
        <v>271</v>
      </c>
      <c r="F108" s="16">
        <v>160905</v>
      </c>
      <c r="G108" s="16">
        <v>137525.64102564103</v>
      </c>
      <c r="H108" s="37">
        <v>3.5000000000000003E-2</v>
      </c>
      <c r="I108" s="16">
        <v>4813.3974358974365</v>
      </c>
      <c r="J108" s="50"/>
      <c r="K108" s="35" t="s">
        <v>262</v>
      </c>
      <c r="L108" s="36">
        <v>11</v>
      </c>
      <c r="M108" s="36" t="s">
        <v>57</v>
      </c>
      <c r="N108" s="38">
        <v>0</v>
      </c>
      <c r="O108" s="36" t="s">
        <v>74</v>
      </c>
      <c r="P108" s="48"/>
      <c r="Q108" s="39" t="s">
        <v>226</v>
      </c>
      <c r="R108" s="40">
        <v>1</v>
      </c>
      <c r="S108" s="68">
        <v>137525.64102564103</v>
      </c>
      <c r="T108" s="68">
        <v>4813.3974358974365</v>
      </c>
      <c r="U108" s="39"/>
      <c r="V108" s="39"/>
      <c r="W108" s="39"/>
      <c r="X108" s="39"/>
      <c r="Y108" s="39"/>
      <c r="Z108" s="39"/>
      <c r="AA108" s="39"/>
      <c r="AB108" s="39"/>
      <c r="AC108" s="39"/>
    </row>
    <row r="109" spans="1:29" ht="16.5" x14ac:dyDescent="0.15">
      <c r="A109" s="35" t="s">
        <v>71</v>
      </c>
      <c r="B109" s="35" t="s">
        <v>216</v>
      </c>
      <c r="C109" s="48"/>
      <c r="D109" s="49" t="s">
        <v>7</v>
      </c>
      <c r="E109" s="14" t="s">
        <v>272</v>
      </c>
      <c r="F109" s="16">
        <v>16090.5</v>
      </c>
      <c r="G109" s="16">
        <v>13752.564102564103</v>
      </c>
      <c r="H109" s="37">
        <v>3.5000000000000003E-2</v>
      </c>
      <c r="I109" s="16">
        <v>481.33974358974365</v>
      </c>
      <c r="J109" s="50"/>
      <c r="K109" s="35" t="s">
        <v>270</v>
      </c>
      <c r="L109" s="36">
        <v>11</v>
      </c>
      <c r="M109" s="36" t="s">
        <v>57</v>
      </c>
      <c r="N109" s="38">
        <v>0</v>
      </c>
      <c r="O109" s="36" t="s">
        <v>74</v>
      </c>
      <c r="P109" s="48"/>
      <c r="Q109" s="39" t="s">
        <v>226</v>
      </c>
      <c r="R109" s="40">
        <v>1</v>
      </c>
      <c r="S109" s="68">
        <v>13752.564102564103</v>
      </c>
      <c r="T109" s="68">
        <v>481.33974358974365</v>
      </c>
      <c r="U109" s="39"/>
      <c r="V109" s="39"/>
      <c r="W109" s="39"/>
      <c r="X109" s="39"/>
      <c r="Y109" s="39"/>
      <c r="Z109" s="39"/>
      <c r="AA109" s="39"/>
      <c r="AB109" s="39"/>
      <c r="AC109" s="39"/>
    </row>
    <row r="110" spans="1:29" ht="16.5" x14ac:dyDescent="0.15">
      <c r="A110" s="35" t="s">
        <v>71</v>
      </c>
      <c r="B110" s="35" t="s">
        <v>216</v>
      </c>
      <c r="C110" s="48"/>
      <c r="D110" s="49" t="s">
        <v>7</v>
      </c>
      <c r="E110" s="14" t="s">
        <v>273</v>
      </c>
      <c r="F110" s="16">
        <v>148680</v>
      </c>
      <c r="G110" s="16">
        <v>127076.92307692308</v>
      </c>
      <c r="H110" s="37">
        <v>0.05</v>
      </c>
      <c r="I110" s="16">
        <v>6353.8461538461543</v>
      </c>
      <c r="J110" s="50"/>
      <c r="K110" s="35" t="s">
        <v>264</v>
      </c>
      <c r="L110" s="36">
        <v>11</v>
      </c>
      <c r="M110" s="36" t="s">
        <v>57</v>
      </c>
      <c r="N110" s="38">
        <v>0</v>
      </c>
      <c r="O110" s="36" t="s">
        <v>74</v>
      </c>
      <c r="P110" s="48"/>
      <c r="Q110" s="39" t="s">
        <v>226</v>
      </c>
      <c r="R110" s="40">
        <v>1</v>
      </c>
      <c r="S110" s="68">
        <v>127076.92307692308</v>
      </c>
      <c r="T110" s="68">
        <v>6353.8461538461543</v>
      </c>
      <c r="U110" s="39"/>
      <c r="V110" s="39"/>
      <c r="W110" s="39"/>
      <c r="X110" s="39"/>
      <c r="Y110" s="39"/>
      <c r="Z110" s="39"/>
      <c r="AA110" s="39"/>
      <c r="AB110" s="39"/>
      <c r="AC110" s="39"/>
    </row>
    <row r="111" spans="1:29" ht="16.5" x14ac:dyDescent="0.15">
      <c r="A111" s="35" t="s">
        <v>36</v>
      </c>
      <c r="B111" s="35" t="s">
        <v>27</v>
      </c>
      <c r="C111" s="36"/>
      <c r="D111" s="35" t="s">
        <v>36</v>
      </c>
      <c r="E111" s="14" t="s">
        <v>56</v>
      </c>
      <c r="F111" s="16">
        <v>900000</v>
      </c>
      <c r="G111" s="16">
        <v>849056.60377358506</v>
      </c>
      <c r="H111" s="37">
        <v>0.9</v>
      </c>
      <c r="I111" s="16">
        <v>764150.94339622604</v>
      </c>
      <c r="J111" s="15"/>
      <c r="K111" s="35" t="s">
        <v>4</v>
      </c>
      <c r="L111" s="36">
        <v>12</v>
      </c>
      <c r="M111" s="36" t="s">
        <v>57</v>
      </c>
      <c r="N111" s="38">
        <v>0</v>
      </c>
      <c r="O111" s="36" t="s">
        <v>40</v>
      </c>
      <c r="P111" s="36"/>
      <c r="Q111" s="39" t="s">
        <v>58</v>
      </c>
      <c r="R111" s="40">
        <v>0.8</v>
      </c>
      <c r="S111" s="39">
        <v>679245.28301799996</v>
      </c>
      <c r="T111" s="39">
        <v>611320.75471600005</v>
      </c>
      <c r="U111" s="39" t="s">
        <v>30</v>
      </c>
      <c r="V111" s="40">
        <v>0.2</v>
      </c>
      <c r="W111" s="39">
        <v>169811.32075399999</v>
      </c>
      <c r="X111" s="39">
        <v>152830.18867900001</v>
      </c>
      <c r="Y111" s="39" t="s">
        <v>31</v>
      </c>
      <c r="Z111" s="39" t="s">
        <v>31</v>
      </c>
      <c r="AA111" s="39" t="s">
        <v>31</v>
      </c>
      <c r="AB111" s="39" t="s">
        <v>31</v>
      </c>
      <c r="AC111" s="39" t="s">
        <v>59</v>
      </c>
    </row>
    <row r="112" spans="1:29" ht="16.5" x14ac:dyDescent="0.15">
      <c r="A112" s="35" t="s">
        <v>7</v>
      </c>
      <c r="B112" s="35" t="s">
        <v>27</v>
      </c>
      <c r="C112" s="36"/>
      <c r="D112" s="35" t="s">
        <v>7</v>
      </c>
      <c r="E112" s="14" t="s">
        <v>60</v>
      </c>
      <c r="F112" s="16">
        <v>2700000</v>
      </c>
      <c r="G112" s="16">
        <v>2547169.81132075</v>
      </c>
      <c r="H112" s="37">
        <v>0.41337144248905794</v>
      </c>
      <c r="I112" s="16">
        <v>1052927.25917024</v>
      </c>
      <c r="J112" s="15"/>
      <c r="K112" s="35" t="s">
        <v>61</v>
      </c>
      <c r="L112" s="36">
        <v>12</v>
      </c>
      <c r="M112" s="36" t="s">
        <v>57</v>
      </c>
      <c r="N112" s="38">
        <v>0</v>
      </c>
      <c r="O112" s="36" t="s">
        <v>29</v>
      </c>
      <c r="P112" s="36"/>
      <c r="Q112" s="39" t="s">
        <v>30</v>
      </c>
      <c r="R112" s="40">
        <v>1</v>
      </c>
      <c r="S112" s="39">
        <v>2547169.81132075</v>
      </c>
      <c r="T112" s="39">
        <v>1052927.25917024</v>
      </c>
      <c r="U112" s="39" t="s">
        <v>31</v>
      </c>
      <c r="V112" s="39" t="s">
        <v>31</v>
      </c>
      <c r="W112" s="39" t="s">
        <v>31</v>
      </c>
      <c r="X112" s="39" t="s">
        <v>31</v>
      </c>
      <c r="Y112" s="39" t="s">
        <v>31</v>
      </c>
      <c r="Z112" s="39" t="s">
        <v>31</v>
      </c>
      <c r="AA112" s="39" t="s">
        <v>31</v>
      </c>
      <c r="AB112" s="39" t="s">
        <v>31</v>
      </c>
      <c r="AC112" s="39" t="s">
        <v>59</v>
      </c>
    </row>
    <row r="113" spans="1:29" ht="16.5" x14ac:dyDescent="0.15">
      <c r="A113" s="35" t="s">
        <v>7</v>
      </c>
      <c r="B113" s="35" t="s">
        <v>27</v>
      </c>
      <c r="C113" s="36"/>
      <c r="D113" s="35" t="s">
        <v>7</v>
      </c>
      <c r="E113" s="14" t="s">
        <v>62</v>
      </c>
      <c r="F113" s="16">
        <v>3100000</v>
      </c>
      <c r="G113" s="16">
        <v>2924528.30188679</v>
      </c>
      <c r="H113" s="37">
        <v>0.30690000000000001</v>
      </c>
      <c r="I113" s="16">
        <v>897537.73584905697</v>
      </c>
      <c r="J113" s="15"/>
      <c r="K113" s="35" t="s">
        <v>63</v>
      </c>
      <c r="L113" s="36">
        <v>12</v>
      </c>
      <c r="M113" s="36" t="s">
        <v>64</v>
      </c>
      <c r="N113" s="38">
        <v>0</v>
      </c>
      <c r="O113" s="36" t="s">
        <v>29</v>
      </c>
      <c r="P113" s="36"/>
      <c r="Q113" s="39" t="s">
        <v>275</v>
      </c>
      <c r="R113" s="40">
        <v>1</v>
      </c>
      <c r="S113" s="39">
        <v>2924528.30188679</v>
      </c>
      <c r="T113" s="39">
        <v>897537.73584905697</v>
      </c>
      <c r="U113" s="39" t="s">
        <v>31</v>
      </c>
      <c r="V113" s="39" t="s">
        <v>31</v>
      </c>
      <c r="W113" s="39" t="s">
        <v>31</v>
      </c>
      <c r="X113" s="39" t="s">
        <v>31</v>
      </c>
      <c r="Y113" s="39" t="s">
        <v>31</v>
      </c>
      <c r="Z113" s="39" t="s">
        <v>31</v>
      </c>
      <c r="AA113" s="39" t="s">
        <v>31</v>
      </c>
      <c r="AB113" s="39" t="s">
        <v>31</v>
      </c>
      <c r="AC113" s="39" t="s">
        <v>59</v>
      </c>
    </row>
    <row r="114" spans="1:29" ht="16.5" x14ac:dyDescent="0.15">
      <c r="A114" s="35" t="s">
        <v>7</v>
      </c>
      <c r="B114" s="35" t="s">
        <v>27</v>
      </c>
      <c r="C114" s="36"/>
      <c r="D114" s="35" t="s">
        <v>7</v>
      </c>
      <c r="E114" s="14" t="s">
        <v>66</v>
      </c>
      <c r="F114" s="16">
        <v>646000</v>
      </c>
      <c r="G114" s="16">
        <v>609433.96226415096</v>
      </c>
      <c r="H114" s="37">
        <v>0.43579999999999997</v>
      </c>
      <c r="I114" s="16">
        <v>265591.32075471699</v>
      </c>
      <c r="J114" s="15"/>
      <c r="K114" s="35" t="s">
        <v>6</v>
      </c>
      <c r="L114" s="36">
        <v>12</v>
      </c>
      <c r="M114" s="36" t="s">
        <v>67</v>
      </c>
      <c r="N114" s="38">
        <v>38160.03324651123</v>
      </c>
      <c r="O114" s="36" t="s">
        <v>29</v>
      </c>
      <c r="P114" s="36"/>
      <c r="Q114" s="39" t="s">
        <v>30</v>
      </c>
      <c r="R114" s="40">
        <v>1</v>
      </c>
      <c r="S114" s="39">
        <v>609433.96226415096</v>
      </c>
      <c r="T114" s="39">
        <v>265591.32075471699</v>
      </c>
      <c r="U114" s="39" t="s">
        <v>31</v>
      </c>
      <c r="V114" s="39" t="s">
        <v>31</v>
      </c>
      <c r="W114" s="39" t="s">
        <v>31</v>
      </c>
      <c r="X114" s="39" t="s">
        <v>31</v>
      </c>
      <c r="Y114" s="39" t="s">
        <v>31</v>
      </c>
      <c r="Z114" s="39" t="s">
        <v>31</v>
      </c>
      <c r="AA114" s="39" t="s">
        <v>31</v>
      </c>
      <c r="AB114" s="39" t="s">
        <v>31</v>
      </c>
      <c r="AC114" s="39" t="s">
        <v>68</v>
      </c>
    </row>
    <row r="115" spans="1:29" ht="16.5" x14ac:dyDescent="0.35">
      <c r="A115" s="35" t="s">
        <v>69</v>
      </c>
      <c r="B115" s="35" t="s">
        <v>274</v>
      </c>
      <c r="C115" s="12"/>
      <c r="D115" s="35" t="s">
        <v>69</v>
      </c>
      <c r="E115" s="41" t="s">
        <v>70</v>
      </c>
      <c r="F115" s="42"/>
      <c r="G115" s="42"/>
      <c r="H115" s="19"/>
      <c r="I115" s="42">
        <v>259305.63922971697</v>
      </c>
      <c r="J115" s="43"/>
      <c r="K115" s="35"/>
      <c r="L115" s="35">
        <v>10</v>
      </c>
      <c r="M115" s="35" t="s">
        <v>57</v>
      </c>
      <c r="N115" s="44">
        <v>259305.63922971697</v>
      </c>
      <c r="O115" s="35" t="s">
        <v>29</v>
      </c>
      <c r="P115" s="19"/>
      <c r="Q115" s="39"/>
      <c r="R115" s="39"/>
      <c r="S115" s="39"/>
      <c r="T115" s="39"/>
      <c r="U115" s="39"/>
      <c r="V115" s="39"/>
      <c r="W115" s="39"/>
      <c r="X115" s="39"/>
      <c r="Y115" s="39"/>
      <c r="Z115" s="39"/>
      <c r="AA115" s="39"/>
      <c r="AB115" s="39"/>
      <c r="AC115" s="39"/>
    </row>
    <row r="116" spans="1:29" ht="16.5" x14ac:dyDescent="0.15">
      <c r="A116" s="35" t="s">
        <v>36</v>
      </c>
      <c r="B116" s="35" t="s">
        <v>3</v>
      </c>
      <c r="C116" s="36"/>
      <c r="D116" s="35" t="s">
        <v>36</v>
      </c>
      <c r="E116" s="14" t="s">
        <v>38</v>
      </c>
      <c r="F116" s="16">
        <v>50000</v>
      </c>
      <c r="G116" s="16">
        <v>47169.811320754598</v>
      </c>
      <c r="H116" s="37">
        <v>0.75</v>
      </c>
      <c r="I116" s="16">
        <v>35377.358490566003</v>
      </c>
      <c r="J116" s="15"/>
      <c r="K116" s="35" t="s">
        <v>4</v>
      </c>
      <c r="L116" s="36">
        <v>11</v>
      </c>
      <c r="M116" s="36" t="s">
        <v>57</v>
      </c>
      <c r="N116" s="38">
        <v>0</v>
      </c>
      <c r="O116" s="36" t="s">
        <v>40</v>
      </c>
      <c r="P116" s="36"/>
      <c r="Q116" s="39" t="s">
        <v>41</v>
      </c>
      <c r="R116" s="40">
        <v>1</v>
      </c>
      <c r="S116" s="39">
        <v>47169.811320754598</v>
      </c>
      <c r="T116" s="39">
        <v>35377.358490566003</v>
      </c>
      <c r="U116" s="39" t="s">
        <v>31</v>
      </c>
      <c r="V116" s="39" t="s">
        <v>31</v>
      </c>
      <c r="W116" s="39" t="s">
        <v>31</v>
      </c>
      <c r="X116" s="39" t="s">
        <v>31</v>
      </c>
      <c r="Y116" s="39" t="s">
        <v>31</v>
      </c>
      <c r="Z116" s="39" t="s">
        <v>31</v>
      </c>
      <c r="AA116" s="39" t="s">
        <v>31</v>
      </c>
      <c r="AB116" s="39" t="s">
        <v>31</v>
      </c>
      <c r="AC116" s="39" t="s">
        <v>59</v>
      </c>
    </row>
    <row r="117" spans="1:29" ht="16.5" x14ac:dyDescent="0.15">
      <c r="A117" s="35" t="s">
        <v>36</v>
      </c>
      <c r="B117" s="35" t="s">
        <v>3</v>
      </c>
      <c r="C117" s="36"/>
      <c r="D117" s="35" t="s">
        <v>36</v>
      </c>
      <c r="E117" s="14" t="s">
        <v>38</v>
      </c>
      <c r="F117" s="16">
        <v>10000</v>
      </c>
      <c r="G117" s="16">
        <v>9433.9622641509395</v>
      </c>
      <c r="H117" s="37">
        <v>0.75</v>
      </c>
      <c r="I117" s="16">
        <v>7075.4716981132096</v>
      </c>
      <c r="J117" s="15"/>
      <c r="K117" s="35" t="s">
        <v>4</v>
      </c>
      <c r="L117" s="36">
        <v>11</v>
      </c>
      <c r="M117" s="157" t="s">
        <v>57</v>
      </c>
      <c r="N117" s="160">
        <v>0</v>
      </c>
      <c r="O117" s="36" t="s">
        <v>40</v>
      </c>
      <c r="P117" s="36"/>
      <c r="Q117" s="39" t="s">
        <v>41</v>
      </c>
      <c r="R117" s="40">
        <v>1</v>
      </c>
      <c r="S117" s="39">
        <v>9433.9622641509395</v>
      </c>
      <c r="T117" s="39">
        <v>7075.4716981132096</v>
      </c>
      <c r="U117" s="39" t="s">
        <v>31</v>
      </c>
      <c r="V117" s="39" t="s">
        <v>31</v>
      </c>
      <c r="W117" s="39" t="s">
        <v>31</v>
      </c>
      <c r="X117" s="39" t="s">
        <v>31</v>
      </c>
      <c r="Y117" s="39" t="s">
        <v>31</v>
      </c>
      <c r="Z117" s="39" t="s">
        <v>31</v>
      </c>
      <c r="AA117" s="174" t="s">
        <v>31</v>
      </c>
      <c r="AB117" s="39" t="s">
        <v>31</v>
      </c>
      <c r="AC117" s="163" t="s">
        <v>59</v>
      </c>
    </row>
    <row r="118" spans="1:29" ht="16.5" x14ac:dyDescent="0.15">
      <c r="A118" s="35" t="s">
        <v>71</v>
      </c>
      <c r="B118" s="35" t="s">
        <v>3</v>
      </c>
      <c r="C118" s="36"/>
      <c r="D118" s="35" t="s">
        <v>7</v>
      </c>
      <c r="E118" s="14" t="s">
        <v>72</v>
      </c>
      <c r="F118" s="16">
        <v>89000</v>
      </c>
      <c r="G118" s="16">
        <v>76068.376068376107</v>
      </c>
      <c r="H118" s="37">
        <v>5.00197191011236E-2</v>
      </c>
      <c r="I118" s="16">
        <v>3804.9188034188001</v>
      </c>
      <c r="J118" s="15"/>
      <c r="K118" s="35" t="s">
        <v>73</v>
      </c>
      <c r="L118" s="36">
        <v>11</v>
      </c>
      <c r="M118" s="36" t="s">
        <v>57</v>
      </c>
      <c r="N118" s="38">
        <v>0</v>
      </c>
      <c r="O118" s="36" t="s">
        <v>74</v>
      </c>
      <c r="P118" s="36"/>
      <c r="Q118" s="39" t="s">
        <v>75</v>
      </c>
      <c r="R118" s="40">
        <v>1</v>
      </c>
      <c r="S118" s="39">
        <v>76068.376068376107</v>
      </c>
      <c r="T118" s="39">
        <v>3804.9188034188001</v>
      </c>
      <c r="U118" s="39" t="s">
        <v>31</v>
      </c>
      <c r="V118" s="39" t="s">
        <v>31</v>
      </c>
      <c r="W118" s="39" t="s">
        <v>31</v>
      </c>
      <c r="X118" s="39" t="s">
        <v>31</v>
      </c>
      <c r="Y118" s="39" t="s">
        <v>31</v>
      </c>
      <c r="Z118" s="39" t="s">
        <v>31</v>
      </c>
      <c r="AA118" s="39" t="s">
        <v>31</v>
      </c>
      <c r="AB118" s="163" t="s">
        <v>31</v>
      </c>
      <c r="AC118" s="163" t="s">
        <v>59</v>
      </c>
    </row>
    <row r="119" spans="1:29" ht="16.5" x14ac:dyDescent="0.15">
      <c r="A119" s="35" t="s">
        <v>7</v>
      </c>
      <c r="B119" s="35" t="s">
        <v>3</v>
      </c>
      <c r="C119" s="36"/>
      <c r="D119" s="35" t="s">
        <v>7</v>
      </c>
      <c r="E119" s="14" t="s">
        <v>76</v>
      </c>
      <c r="F119" s="16">
        <v>19680</v>
      </c>
      <c r="G119" s="16">
        <v>18566.037735849099</v>
      </c>
      <c r="H119" s="37">
        <v>1</v>
      </c>
      <c r="I119" s="16">
        <v>18566.037735849099</v>
      </c>
      <c r="J119" s="15"/>
      <c r="K119" s="35" t="s">
        <v>77</v>
      </c>
      <c r="L119" s="36">
        <v>11</v>
      </c>
      <c r="M119" s="36" t="s">
        <v>64</v>
      </c>
      <c r="N119" s="38">
        <v>0</v>
      </c>
      <c r="O119" s="36" t="s">
        <v>29</v>
      </c>
      <c r="P119" s="36"/>
      <c r="Q119" s="39" t="s">
        <v>75</v>
      </c>
      <c r="R119" s="40">
        <v>1</v>
      </c>
      <c r="S119" s="39">
        <v>18566.037735849099</v>
      </c>
      <c r="T119" s="39">
        <v>18566.037735849099</v>
      </c>
      <c r="U119" s="39" t="s">
        <v>31</v>
      </c>
      <c r="V119" s="39" t="s">
        <v>31</v>
      </c>
      <c r="W119" s="39" t="s">
        <v>31</v>
      </c>
      <c r="X119" s="39" t="s">
        <v>31</v>
      </c>
      <c r="Y119" s="39" t="s">
        <v>31</v>
      </c>
      <c r="Z119" s="39" t="s">
        <v>31</v>
      </c>
      <c r="AA119" s="39" t="s">
        <v>31</v>
      </c>
      <c r="AB119" s="163" t="s">
        <v>31</v>
      </c>
      <c r="AC119" s="163" t="s">
        <v>59</v>
      </c>
    </row>
    <row r="120" spans="1:29" ht="16.5" x14ac:dyDescent="0.15">
      <c r="A120" s="35" t="s">
        <v>36</v>
      </c>
      <c r="B120" s="35" t="s">
        <v>276</v>
      </c>
      <c r="C120" s="36"/>
      <c r="D120" s="35" t="s">
        <v>36</v>
      </c>
      <c r="E120" s="14" t="s">
        <v>298</v>
      </c>
      <c r="F120" s="16">
        <v>145000</v>
      </c>
      <c r="G120" s="16">
        <v>136792.45283018867</v>
      </c>
      <c r="H120" s="37">
        <v>0.65010000000000001</v>
      </c>
      <c r="I120" s="16">
        <v>88928.773584905663</v>
      </c>
      <c r="J120" s="15"/>
      <c r="K120" s="35" t="s">
        <v>287</v>
      </c>
      <c r="L120" s="36">
        <v>12</v>
      </c>
      <c r="M120" s="36" t="s">
        <v>57</v>
      </c>
      <c r="N120" s="38">
        <v>0</v>
      </c>
      <c r="O120" s="36" t="s">
        <v>40</v>
      </c>
      <c r="P120" s="36"/>
      <c r="Q120" s="39" t="s">
        <v>289</v>
      </c>
      <c r="R120" s="40">
        <v>1</v>
      </c>
      <c r="S120" s="71">
        <v>136792.45283018867</v>
      </c>
      <c r="T120" s="71">
        <v>88928.773584905663</v>
      </c>
      <c r="U120" s="39">
        <v>0</v>
      </c>
      <c r="V120" s="40">
        <v>0</v>
      </c>
      <c r="W120" s="39">
        <v>0</v>
      </c>
      <c r="X120" s="39">
        <v>0</v>
      </c>
      <c r="Y120" s="39">
        <v>0</v>
      </c>
      <c r="Z120" s="39">
        <v>0</v>
      </c>
      <c r="AA120" s="39">
        <v>0</v>
      </c>
      <c r="AB120" s="163">
        <v>0</v>
      </c>
      <c r="AC120" s="163" t="s">
        <v>108</v>
      </c>
    </row>
    <row r="121" spans="1:29" ht="16.5" x14ac:dyDescent="0.15">
      <c r="A121" s="35" t="s">
        <v>7</v>
      </c>
      <c r="B121" s="35" t="s">
        <v>276</v>
      </c>
      <c r="C121" s="36"/>
      <c r="D121" s="35" t="s">
        <v>7</v>
      </c>
      <c r="E121" s="14" t="s">
        <v>299</v>
      </c>
      <c r="F121" s="16">
        <v>1750000</v>
      </c>
      <c r="G121" s="16">
        <v>1650943.3962264149</v>
      </c>
      <c r="H121" s="37">
        <v>0.3</v>
      </c>
      <c r="I121" s="16">
        <v>495283.01886792446</v>
      </c>
      <c r="J121" s="15"/>
      <c r="K121" s="35" t="s">
        <v>287</v>
      </c>
      <c r="L121" s="36">
        <v>12</v>
      </c>
      <c r="M121" s="36" t="s">
        <v>64</v>
      </c>
      <c r="N121" s="38">
        <v>0</v>
      </c>
      <c r="O121" s="36" t="s">
        <v>29</v>
      </c>
      <c r="P121" s="36"/>
      <c r="Q121" s="39" t="s">
        <v>289</v>
      </c>
      <c r="R121" s="40">
        <v>1</v>
      </c>
      <c r="S121" s="71">
        <v>1650943.3962264149</v>
      </c>
      <c r="T121" s="71">
        <v>495283.01886792446</v>
      </c>
      <c r="U121" s="39">
        <v>0</v>
      </c>
      <c r="V121" s="40">
        <v>0</v>
      </c>
      <c r="W121" s="39">
        <v>0</v>
      </c>
      <c r="X121" s="39">
        <v>0</v>
      </c>
      <c r="Y121" s="39">
        <v>0</v>
      </c>
      <c r="Z121" s="39">
        <v>0</v>
      </c>
      <c r="AA121" s="39">
        <v>0</v>
      </c>
      <c r="AB121" s="163">
        <v>0</v>
      </c>
      <c r="AC121" s="163">
        <v>0</v>
      </c>
    </row>
    <row r="122" spans="1:29" ht="16.5" x14ac:dyDescent="0.15">
      <c r="A122" s="35" t="s">
        <v>7</v>
      </c>
      <c r="B122" s="35" t="s">
        <v>276</v>
      </c>
      <c r="C122" s="36"/>
      <c r="D122" s="35" t="s">
        <v>7</v>
      </c>
      <c r="E122" s="14" t="s">
        <v>300</v>
      </c>
      <c r="F122" s="16">
        <v>773000</v>
      </c>
      <c r="G122" s="16">
        <v>729245.28301886783</v>
      </c>
      <c r="H122" s="37">
        <v>0.3</v>
      </c>
      <c r="I122" s="16">
        <v>243396.22641509434</v>
      </c>
      <c r="J122" s="15"/>
      <c r="K122" s="35" t="s">
        <v>287</v>
      </c>
      <c r="L122" s="36">
        <v>12</v>
      </c>
      <c r="M122" s="36" t="s">
        <v>64</v>
      </c>
      <c r="N122" s="38">
        <v>0</v>
      </c>
      <c r="O122" s="36" t="s">
        <v>29</v>
      </c>
      <c r="P122" s="36"/>
      <c r="Q122" s="39" t="s">
        <v>289</v>
      </c>
      <c r="R122" s="40">
        <v>1</v>
      </c>
      <c r="S122" s="71">
        <v>729245.28301886783</v>
      </c>
      <c r="T122" s="71">
        <v>243396.22641509434</v>
      </c>
      <c r="U122" s="39">
        <v>0</v>
      </c>
      <c r="V122" s="40">
        <v>0</v>
      </c>
      <c r="W122" s="39">
        <v>0</v>
      </c>
      <c r="X122" s="39">
        <v>0</v>
      </c>
      <c r="Y122" s="39">
        <v>0</v>
      </c>
      <c r="Z122" s="39">
        <v>0</v>
      </c>
      <c r="AA122" s="39">
        <v>0</v>
      </c>
      <c r="AB122" s="163">
        <v>0</v>
      </c>
      <c r="AC122" s="163">
        <v>0</v>
      </c>
    </row>
    <row r="123" spans="1:29" ht="16.5" x14ac:dyDescent="0.15">
      <c r="A123" s="35" t="s">
        <v>36</v>
      </c>
      <c r="B123" s="35" t="s">
        <v>276</v>
      </c>
      <c r="C123" s="36"/>
      <c r="D123" s="35" t="s">
        <v>36</v>
      </c>
      <c r="E123" s="14" t="s">
        <v>286</v>
      </c>
      <c r="F123" s="16">
        <v>3220500</v>
      </c>
      <c r="G123" s="16">
        <v>3038207.5471698111</v>
      </c>
      <c r="H123" s="37">
        <v>0.15</v>
      </c>
      <c r="I123" s="16">
        <v>455731.13207547163</v>
      </c>
      <c r="J123" s="15"/>
      <c r="K123" s="35" t="s">
        <v>287</v>
      </c>
      <c r="L123" s="36">
        <v>12</v>
      </c>
      <c r="M123" s="36" t="s">
        <v>57</v>
      </c>
      <c r="N123" s="38">
        <v>0</v>
      </c>
      <c r="O123" s="36" t="s">
        <v>40</v>
      </c>
      <c r="P123" s="36"/>
      <c r="Q123" s="39" t="s">
        <v>289</v>
      </c>
      <c r="R123" s="40">
        <v>1</v>
      </c>
      <c r="S123" s="71">
        <v>3038207.5471698111</v>
      </c>
      <c r="T123" s="71">
        <v>455731.13207547163</v>
      </c>
      <c r="U123" s="39">
        <v>0</v>
      </c>
      <c r="V123" s="40">
        <v>0</v>
      </c>
      <c r="W123" s="39">
        <v>0</v>
      </c>
      <c r="X123" s="39">
        <v>0</v>
      </c>
      <c r="Y123" s="39">
        <v>0</v>
      </c>
      <c r="Z123" s="39">
        <v>0</v>
      </c>
      <c r="AA123" s="39">
        <v>0</v>
      </c>
      <c r="AB123" s="163">
        <v>0</v>
      </c>
      <c r="AC123" s="163" t="s">
        <v>32</v>
      </c>
    </row>
    <row r="124" spans="1:29" ht="16.5" x14ac:dyDescent="0.35">
      <c r="A124" s="35" t="s">
        <v>69</v>
      </c>
      <c r="B124" s="35" t="s">
        <v>301</v>
      </c>
      <c r="C124" s="12"/>
      <c r="D124" s="35" t="s">
        <v>69</v>
      </c>
      <c r="E124" s="41" t="s">
        <v>70</v>
      </c>
      <c r="F124" s="42"/>
      <c r="G124" s="42"/>
      <c r="H124" s="19"/>
      <c r="I124" s="42">
        <v>99977.661344944354</v>
      </c>
      <c r="J124" s="43"/>
      <c r="K124" s="35"/>
      <c r="L124" s="35">
        <v>10</v>
      </c>
      <c r="M124" s="35" t="s">
        <v>57</v>
      </c>
      <c r="N124" s="44">
        <v>99977.661344944354</v>
      </c>
      <c r="O124" s="35" t="s">
        <v>29</v>
      </c>
      <c r="P124" s="19"/>
      <c r="Q124" s="163"/>
      <c r="R124" s="163"/>
      <c r="S124" s="181"/>
      <c r="T124" s="181">
        <v>99977.661344944354</v>
      </c>
      <c r="U124" s="163"/>
      <c r="V124" s="163"/>
      <c r="W124" s="163"/>
      <c r="X124" s="163"/>
      <c r="Y124" s="163"/>
      <c r="Z124" s="163"/>
      <c r="AA124" s="163"/>
      <c r="AB124" s="163"/>
      <c r="AC124" s="163"/>
    </row>
    <row r="125" spans="1:29" ht="16.5" x14ac:dyDescent="0.15">
      <c r="A125" s="35" t="s">
        <v>7</v>
      </c>
      <c r="B125" s="35" t="s">
        <v>294</v>
      </c>
      <c r="C125" s="36"/>
      <c r="D125" s="35" t="s">
        <v>7</v>
      </c>
      <c r="E125" s="14" t="s">
        <v>302</v>
      </c>
      <c r="F125" s="16">
        <v>400000</v>
      </c>
      <c r="G125" s="16">
        <v>377358.49056603771</v>
      </c>
      <c r="H125" s="37">
        <v>0.35039999999999999</v>
      </c>
      <c r="I125" s="16">
        <v>132226.41509433961</v>
      </c>
      <c r="J125" s="15"/>
      <c r="K125" s="35" t="s">
        <v>287</v>
      </c>
      <c r="L125" s="36">
        <v>11</v>
      </c>
      <c r="M125" s="36" t="s">
        <v>57</v>
      </c>
      <c r="N125" s="38">
        <v>0</v>
      </c>
      <c r="O125" s="36" t="s">
        <v>29</v>
      </c>
      <c r="P125" s="36"/>
      <c r="Q125" s="39" t="s">
        <v>289</v>
      </c>
      <c r="R125" s="40">
        <v>1</v>
      </c>
      <c r="S125" s="71">
        <v>377358.49056603771</v>
      </c>
      <c r="T125" s="71">
        <v>132226.41509433961</v>
      </c>
      <c r="U125" s="39"/>
      <c r="V125" s="39"/>
      <c r="W125" s="39"/>
      <c r="X125" s="39"/>
      <c r="Y125" s="39"/>
      <c r="Z125" s="39"/>
      <c r="AA125" s="39"/>
      <c r="AB125" s="39"/>
      <c r="AC125" s="39"/>
    </row>
    <row r="126" spans="1:29" ht="16.5" x14ac:dyDescent="0.15">
      <c r="A126" s="35" t="s">
        <v>306</v>
      </c>
      <c r="B126" s="35" t="s">
        <v>304</v>
      </c>
      <c r="C126" s="83"/>
      <c r="D126" s="35" t="s">
        <v>306</v>
      </c>
      <c r="E126" s="75" t="s">
        <v>307</v>
      </c>
      <c r="F126" s="77">
        <v>600000</v>
      </c>
      <c r="G126" s="77">
        <v>566037.73584905697</v>
      </c>
      <c r="H126" s="84">
        <v>0.81140000000000001</v>
      </c>
      <c r="I126" s="77">
        <v>459283.01886792498</v>
      </c>
      <c r="J126" s="76"/>
      <c r="K126" s="35" t="s">
        <v>308</v>
      </c>
      <c r="L126" s="83">
        <v>12</v>
      </c>
      <c r="M126" s="83" t="s">
        <v>57</v>
      </c>
      <c r="N126" s="85">
        <v>0</v>
      </c>
      <c r="O126" s="83" t="s">
        <v>310</v>
      </c>
      <c r="P126" s="83"/>
      <c r="Q126" s="86" t="str">
        <f>K126</f>
        <v>王丽鹃</v>
      </c>
      <c r="R126" s="87">
        <v>0.8</v>
      </c>
      <c r="S126" s="86">
        <f t="shared" ref="S126:S157" si="0">G126*R126</f>
        <v>452830.18867924559</v>
      </c>
      <c r="T126" s="86">
        <f t="shared" ref="T126:T157" si="1">I126*R126</f>
        <v>367426.41509433999</v>
      </c>
      <c r="U126" s="86" t="s">
        <v>311</v>
      </c>
      <c r="V126" s="87">
        <v>0.2</v>
      </c>
      <c r="W126" s="86">
        <f>G126*V126</f>
        <v>113207.5471698114</v>
      </c>
      <c r="X126" s="86">
        <f>I126*V126</f>
        <v>91856.603773584997</v>
      </c>
      <c r="Y126" s="86">
        <v>0</v>
      </c>
      <c r="Z126" s="86">
        <v>0</v>
      </c>
      <c r="AA126" s="86">
        <v>0</v>
      </c>
      <c r="AB126" s="86">
        <v>0</v>
      </c>
      <c r="AC126" s="86" t="s">
        <v>32</v>
      </c>
    </row>
    <row r="127" spans="1:29" ht="16.5" x14ac:dyDescent="0.15">
      <c r="A127" s="35" t="s">
        <v>36</v>
      </c>
      <c r="B127" s="35" t="s">
        <v>304</v>
      </c>
      <c r="C127" s="83"/>
      <c r="D127" s="35" t="s">
        <v>36</v>
      </c>
      <c r="E127" s="75" t="s">
        <v>357</v>
      </c>
      <c r="F127" s="77">
        <v>1116000</v>
      </c>
      <c r="G127" s="77">
        <v>1052830.18867925</v>
      </c>
      <c r="H127" s="84">
        <v>0.52222114356231997</v>
      </c>
      <c r="I127" s="77">
        <v>549810.18510900903</v>
      </c>
      <c r="J127" s="76"/>
      <c r="K127" s="35" t="s">
        <v>315</v>
      </c>
      <c r="L127" s="83">
        <v>12</v>
      </c>
      <c r="M127" s="83" t="s">
        <v>57</v>
      </c>
      <c r="N127" s="85">
        <v>0</v>
      </c>
      <c r="O127" s="83" t="s">
        <v>40</v>
      </c>
      <c r="P127" s="83"/>
      <c r="Q127" s="86" t="str">
        <f>K127</f>
        <v>赵乐</v>
      </c>
      <c r="R127" s="87">
        <v>0.5</v>
      </c>
      <c r="S127" s="86">
        <f t="shared" si="0"/>
        <v>526415.09433962498</v>
      </c>
      <c r="T127" s="86">
        <f t="shared" si="1"/>
        <v>274905.09255450452</v>
      </c>
      <c r="U127" s="86" t="s">
        <v>305</v>
      </c>
      <c r="V127" s="87">
        <v>0.5</v>
      </c>
      <c r="W127" s="86">
        <f>G127*V127</f>
        <v>526415.09433962498</v>
      </c>
      <c r="X127" s="86">
        <f>I127*V127</f>
        <v>274905.09255450452</v>
      </c>
      <c r="Y127" s="86">
        <v>0</v>
      </c>
      <c r="Z127" s="86">
        <v>0</v>
      </c>
      <c r="AA127" s="86">
        <v>0</v>
      </c>
      <c r="AB127" s="86">
        <v>0</v>
      </c>
      <c r="AC127" s="86">
        <v>0</v>
      </c>
    </row>
    <row r="128" spans="1:29" ht="16.5" x14ac:dyDescent="0.15">
      <c r="A128" s="35" t="s">
        <v>36</v>
      </c>
      <c r="B128" s="35" t="s">
        <v>304</v>
      </c>
      <c r="C128" s="83"/>
      <c r="D128" s="35" t="s">
        <v>36</v>
      </c>
      <c r="E128" s="75" t="s">
        <v>358</v>
      </c>
      <c r="F128" s="77">
        <v>988200</v>
      </c>
      <c r="G128" s="77">
        <v>844615.38461538497</v>
      </c>
      <c r="H128" s="84">
        <v>0.190447277878972</v>
      </c>
      <c r="I128" s="77">
        <v>160854.70085470099</v>
      </c>
      <c r="J128" s="76"/>
      <c r="K128" s="35" t="s">
        <v>359</v>
      </c>
      <c r="L128" s="83">
        <v>12</v>
      </c>
      <c r="M128" s="83" t="s">
        <v>57</v>
      </c>
      <c r="N128" s="85">
        <v>0</v>
      </c>
      <c r="O128" s="83" t="s">
        <v>40</v>
      </c>
      <c r="P128" s="83"/>
      <c r="Q128" s="86" t="s">
        <v>322</v>
      </c>
      <c r="R128" s="87">
        <v>1</v>
      </c>
      <c r="S128" s="86">
        <f t="shared" si="0"/>
        <v>844615.38461538497</v>
      </c>
      <c r="T128" s="86">
        <f t="shared" si="1"/>
        <v>160854.70085470099</v>
      </c>
      <c r="U128" s="86" t="e">
        <v>#N/A</v>
      </c>
      <c r="V128" s="87">
        <v>0</v>
      </c>
      <c r="W128" s="86">
        <v>0</v>
      </c>
      <c r="X128" s="86">
        <v>0</v>
      </c>
      <c r="Y128" s="86"/>
      <c r="Z128" s="86">
        <v>0</v>
      </c>
      <c r="AA128" s="86">
        <v>0</v>
      </c>
      <c r="AB128" s="86">
        <v>0</v>
      </c>
      <c r="AC128" s="86">
        <v>0</v>
      </c>
    </row>
    <row r="129" spans="1:29" ht="16.5" x14ac:dyDescent="0.15">
      <c r="A129" s="35" t="s">
        <v>36</v>
      </c>
      <c r="B129" s="35" t="s">
        <v>304</v>
      </c>
      <c r="C129" s="83"/>
      <c r="D129" s="35" t="s">
        <v>36</v>
      </c>
      <c r="E129" s="75" t="s">
        <v>329</v>
      </c>
      <c r="F129" s="77">
        <v>249000</v>
      </c>
      <c r="G129" s="77">
        <v>234905.660377358</v>
      </c>
      <c r="H129" s="84">
        <v>1</v>
      </c>
      <c r="I129" s="77">
        <v>234905.660377358</v>
      </c>
      <c r="J129" s="76"/>
      <c r="K129" s="35" t="s">
        <v>322</v>
      </c>
      <c r="L129" s="83">
        <v>12</v>
      </c>
      <c r="M129" s="83" t="s">
        <v>57</v>
      </c>
      <c r="N129" s="85">
        <v>0</v>
      </c>
      <c r="O129" s="83" t="s">
        <v>40</v>
      </c>
      <c r="P129" s="83"/>
      <c r="Q129" s="86" t="str">
        <f>K129</f>
        <v>席军民</v>
      </c>
      <c r="R129" s="87">
        <v>1</v>
      </c>
      <c r="S129" s="86">
        <f t="shared" si="0"/>
        <v>234905.660377358</v>
      </c>
      <c r="T129" s="86">
        <f t="shared" si="1"/>
        <v>234905.660377358</v>
      </c>
      <c r="U129" s="86">
        <v>0</v>
      </c>
      <c r="V129" s="87">
        <v>0</v>
      </c>
      <c r="W129" s="86">
        <v>0</v>
      </c>
      <c r="X129" s="86">
        <v>0</v>
      </c>
      <c r="Y129" s="86">
        <v>0</v>
      </c>
      <c r="Z129" s="86">
        <v>0</v>
      </c>
      <c r="AA129" s="86">
        <v>0</v>
      </c>
      <c r="AB129" s="86">
        <v>0</v>
      </c>
      <c r="AC129" s="86" t="s">
        <v>35</v>
      </c>
    </row>
    <row r="130" spans="1:29" ht="16.5" x14ac:dyDescent="0.15">
      <c r="A130" s="35" t="s">
        <v>36</v>
      </c>
      <c r="B130" s="35" t="s">
        <v>304</v>
      </c>
      <c r="C130" s="83"/>
      <c r="D130" s="35" t="s">
        <v>36</v>
      </c>
      <c r="E130" s="75" t="s">
        <v>360</v>
      </c>
      <c r="F130" s="77">
        <v>1340370</v>
      </c>
      <c r="G130" s="77">
        <v>1264500</v>
      </c>
      <c r="H130" s="84">
        <v>0.91818913885953002</v>
      </c>
      <c r="I130" s="77">
        <v>1161050.16608788</v>
      </c>
      <c r="J130" s="76"/>
      <c r="K130" s="35" t="s">
        <v>359</v>
      </c>
      <c r="L130" s="83">
        <v>12</v>
      </c>
      <c r="M130" s="83" t="s">
        <v>57</v>
      </c>
      <c r="N130" s="85">
        <v>0</v>
      </c>
      <c r="O130" s="83" t="s">
        <v>40</v>
      </c>
      <c r="P130" s="83"/>
      <c r="Q130" s="86" t="s">
        <v>322</v>
      </c>
      <c r="R130" s="87">
        <v>1</v>
      </c>
      <c r="S130" s="86">
        <f t="shared" si="0"/>
        <v>1264500</v>
      </c>
      <c r="T130" s="86">
        <f t="shared" si="1"/>
        <v>1161050.16608788</v>
      </c>
      <c r="U130" s="86" t="e">
        <v>#N/A</v>
      </c>
      <c r="V130" s="87"/>
      <c r="W130" s="86"/>
      <c r="X130" s="86"/>
      <c r="Y130" s="86"/>
      <c r="Z130" s="86">
        <v>0</v>
      </c>
      <c r="AA130" s="86">
        <v>0</v>
      </c>
      <c r="AB130" s="86">
        <v>0</v>
      </c>
      <c r="AC130" s="86">
        <v>0</v>
      </c>
    </row>
    <row r="131" spans="1:29" ht="16.5" x14ac:dyDescent="0.15">
      <c r="A131" s="35" t="s">
        <v>36</v>
      </c>
      <c r="B131" s="35" t="s">
        <v>304</v>
      </c>
      <c r="C131" s="83"/>
      <c r="D131" s="35" t="s">
        <v>36</v>
      </c>
      <c r="E131" s="75" t="s">
        <v>361</v>
      </c>
      <c r="F131" s="77">
        <v>99200</v>
      </c>
      <c r="G131" s="77">
        <v>93584.905660377306</v>
      </c>
      <c r="H131" s="84">
        <v>1</v>
      </c>
      <c r="I131" s="77">
        <v>93584.905660377306</v>
      </c>
      <c r="J131" s="76"/>
      <c r="K131" s="35" t="s">
        <v>322</v>
      </c>
      <c r="L131" s="83">
        <v>12</v>
      </c>
      <c r="M131" s="83" t="s">
        <v>57</v>
      </c>
      <c r="N131" s="85">
        <v>0</v>
      </c>
      <c r="O131" s="83" t="s">
        <v>40</v>
      </c>
      <c r="P131" s="83"/>
      <c r="Q131" s="86" t="str">
        <f>K131</f>
        <v>席军民</v>
      </c>
      <c r="R131" s="87">
        <v>1</v>
      </c>
      <c r="S131" s="86">
        <f t="shared" si="0"/>
        <v>93584.905660377306</v>
      </c>
      <c r="T131" s="86">
        <f t="shared" si="1"/>
        <v>93584.905660377306</v>
      </c>
      <c r="U131" s="86">
        <v>0</v>
      </c>
      <c r="V131" s="87">
        <v>0</v>
      </c>
      <c r="W131" s="86">
        <v>0</v>
      </c>
      <c r="X131" s="86">
        <v>0</v>
      </c>
      <c r="Y131" s="86">
        <v>0</v>
      </c>
      <c r="Z131" s="86">
        <v>0</v>
      </c>
      <c r="AA131" s="86">
        <v>0</v>
      </c>
      <c r="AB131" s="86">
        <v>0</v>
      </c>
      <c r="AC131" s="86">
        <v>0</v>
      </c>
    </row>
    <row r="132" spans="1:29" ht="16.5" x14ac:dyDescent="0.15">
      <c r="A132" s="35" t="s">
        <v>36</v>
      </c>
      <c r="B132" s="35" t="s">
        <v>304</v>
      </c>
      <c r="C132" s="83"/>
      <c r="D132" s="35" t="s">
        <v>36</v>
      </c>
      <c r="E132" s="75" t="s">
        <v>362</v>
      </c>
      <c r="F132" s="77">
        <v>70200</v>
      </c>
      <c r="G132" s="77">
        <v>66226.415094339594</v>
      </c>
      <c r="H132" s="84">
        <v>1</v>
      </c>
      <c r="I132" s="77">
        <v>66226.415094339594</v>
      </c>
      <c r="J132" s="76"/>
      <c r="K132" s="35" t="s">
        <v>318</v>
      </c>
      <c r="L132" s="83">
        <v>12</v>
      </c>
      <c r="M132" s="159" t="s">
        <v>57</v>
      </c>
      <c r="N132" s="162">
        <v>0</v>
      </c>
      <c r="O132" s="83" t="s">
        <v>40</v>
      </c>
      <c r="P132" s="83"/>
      <c r="Q132" s="86" t="s">
        <v>322</v>
      </c>
      <c r="R132" s="87">
        <v>1</v>
      </c>
      <c r="S132" s="86">
        <f t="shared" si="0"/>
        <v>66226.415094339594</v>
      </c>
      <c r="T132" s="86">
        <f t="shared" si="1"/>
        <v>66226.415094339594</v>
      </c>
      <c r="U132" s="86">
        <v>0</v>
      </c>
      <c r="V132" s="87">
        <v>0</v>
      </c>
      <c r="W132" s="86">
        <v>0</v>
      </c>
      <c r="X132" s="86">
        <v>0</v>
      </c>
      <c r="Y132" s="86">
        <v>0</v>
      </c>
      <c r="Z132" s="86">
        <v>0</v>
      </c>
      <c r="AA132" s="175">
        <v>0</v>
      </c>
      <c r="AB132" s="86">
        <v>0</v>
      </c>
      <c r="AC132" s="165" t="s">
        <v>108</v>
      </c>
    </row>
    <row r="133" spans="1:29" ht="16.5" x14ac:dyDescent="0.15">
      <c r="A133" s="35" t="s">
        <v>36</v>
      </c>
      <c r="B133" s="35" t="s">
        <v>304</v>
      </c>
      <c r="C133" s="83"/>
      <c r="D133" s="35" t="s">
        <v>36</v>
      </c>
      <c r="E133" s="75" t="s">
        <v>320</v>
      </c>
      <c r="F133" s="77">
        <v>2773500</v>
      </c>
      <c r="G133" s="77">
        <v>2616509.4339622599</v>
      </c>
      <c r="H133" s="84">
        <v>0.72419999999999995</v>
      </c>
      <c r="I133" s="77">
        <v>1894876.1320754699</v>
      </c>
      <c r="J133" s="76"/>
      <c r="K133" s="35" t="s">
        <v>318</v>
      </c>
      <c r="L133" s="83">
        <v>12</v>
      </c>
      <c r="M133" s="83" t="s">
        <v>57</v>
      </c>
      <c r="N133" s="85">
        <v>0</v>
      </c>
      <c r="O133" s="83" t="s">
        <v>40</v>
      </c>
      <c r="P133" s="83"/>
      <c r="Q133" s="86" t="s">
        <v>322</v>
      </c>
      <c r="R133" s="87">
        <v>1</v>
      </c>
      <c r="S133" s="86">
        <f t="shared" si="0"/>
        <v>2616509.4339622599</v>
      </c>
      <c r="T133" s="86">
        <f t="shared" si="1"/>
        <v>1894876.1320754699</v>
      </c>
      <c r="U133" s="86">
        <v>0</v>
      </c>
      <c r="V133" s="87">
        <v>0</v>
      </c>
      <c r="W133" s="86">
        <v>0</v>
      </c>
      <c r="X133" s="86">
        <v>0</v>
      </c>
      <c r="Y133" s="86">
        <v>0</v>
      </c>
      <c r="Z133" s="86">
        <v>0</v>
      </c>
      <c r="AA133" s="86">
        <v>0</v>
      </c>
      <c r="AB133" s="165">
        <v>0</v>
      </c>
      <c r="AC133" s="165" t="s">
        <v>35</v>
      </c>
    </row>
    <row r="134" spans="1:29" ht="16.5" x14ac:dyDescent="0.15">
      <c r="A134" s="35" t="s">
        <v>36</v>
      </c>
      <c r="B134" s="35" t="s">
        <v>304</v>
      </c>
      <c r="C134" s="83"/>
      <c r="D134" s="35" t="s">
        <v>36</v>
      </c>
      <c r="E134" s="75" t="s">
        <v>320</v>
      </c>
      <c r="F134" s="77">
        <v>4666500</v>
      </c>
      <c r="G134" s="77">
        <v>3988461.5384615399</v>
      </c>
      <c r="H134" s="84">
        <v>0.27350000000000002</v>
      </c>
      <c r="I134" s="77">
        <v>1090844.2307692301</v>
      </c>
      <c r="J134" s="76"/>
      <c r="K134" s="35" t="s">
        <v>318</v>
      </c>
      <c r="L134" s="83">
        <v>12</v>
      </c>
      <c r="M134" s="83" t="s">
        <v>57</v>
      </c>
      <c r="N134" s="85">
        <v>0</v>
      </c>
      <c r="O134" s="83" t="s">
        <v>40</v>
      </c>
      <c r="P134" s="83"/>
      <c r="Q134" s="86" t="s">
        <v>322</v>
      </c>
      <c r="R134" s="87">
        <v>1</v>
      </c>
      <c r="S134" s="86">
        <f t="shared" si="0"/>
        <v>3988461.5384615399</v>
      </c>
      <c r="T134" s="86">
        <f t="shared" si="1"/>
        <v>1090844.2307692301</v>
      </c>
      <c r="U134" s="86">
        <v>0</v>
      </c>
      <c r="V134" s="87">
        <v>0</v>
      </c>
      <c r="W134" s="86">
        <v>0</v>
      </c>
      <c r="X134" s="86">
        <v>0</v>
      </c>
      <c r="Y134" s="86">
        <v>0</v>
      </c>
      <c r="Z134" s="86">
        <v>0</v>
      </c>
      <c r="AA134" s="86">
        <v>0</v>
      </c>
      <c r="AB134" s="165">
        <v>0</v>
      </c>
      <c r="AC134" s="165" t="s">
        <v>35</v>
      </c>
    </row>
    <row r="135" spans="1:29" ht="16.5" x14ac:dyDescent="0.15">
      <c r="A135" s="35" t="s">
        <v>36</v>
      </c>
      <c r="B135" s="35" t="s">
        <v>304</v>
      </c>
      <c r="C135" s="83"/>
      <c r="D135" s="35" t="s">
        <v>36</v>
      </c>
      <c r="E135" s="75" t="s">
        <v>323</v>
      </c>
      <c r="F135" s="77">
        <v>350000</v>
      </c>
      <c r="G135" s="77">
        <v>330188.67924528301</v>
      </c>
      <c r="H135" s="84">
        <v>1</v>
      </c>
      <c r="I135" s="77">
        <v>330188.67924528301</v>
      </c>
      <c r="J135" s="76"/>
      <c r="K135" s="35" t="s">
        <v>322</v>
      </c>
      <c r="L135" s="83">
        <v>12</v>
      </c>
      <c r="M135" s="83" t="s">
        <v>57</v>
      </c>
      <c r="N135" s="85">
        <v>0</v>
      </c>
      <c r="O135" s="83" t="s">
        <v>40</v>
      </c>
      <c r="P135" s="83"/>
      <c r="Q135" s="86" t="str">
        <f>K135</f>
        <v>席军民</v>
      </c>
      <c r="R135" s="87">
        <v>1</v>
      </c>
      <c r="S135" s="86">
        <f t="shared" si="0"/>
        <v>330188.67924528301</v>
      </c>
      <c r="T135" s="86">
        <f t="shared" si="1"/>
        <v>330188.67924528301</v>
      </c>
      <c r="U135" s="86">
        <v>0</v>
      </c>
      <c r="V135" s="87">
        <v>0</v>
      </c>
      <c r="W135" s="86">
        <v>0</v>
      </c>
      <c r="X135" s="86">
        <v>0</v>
      </c>
      <c r="Y135" s="86">
        <v>0</v>
      </c>
      <c r="Z135" s="86">
        <v>0</v>
      </c>
      <c r="AA135" s="86">
        <v>0</v>
      </c>
      <c r="AB135" s="165">
        <v>0</v>
      </c>
      <c r="AC135" s="165" t="s">
        <v>35</v>
      </c>
    </row>
    <row r="136" spans="1:29" ht="16.5" x14ac:dyDescent="0.15">
      <c r="A136" s="35" t="s">
        <v>36</v>
      </c>
      <c r="B136" s="35" t="s">
        <v>304</v>
      </c>
      <c r="C136" s="83"/>
      <c r="D136" s="35" t="s">
        <v>36</v>
      </c>
      <c r="E136" s="75" t="s">
        <v>363</v>
      </c>
      <c r="F136" s="77">
        <v>735000</v>
      </c>
      <c r="G136" s="77">
        <v>693396.22641509399</v>
      </c>
      <c r="H136" s="84">
        <v>0.84580952380952401</v>
      </c>
      <c r="I136" s="77">
        <v>586481.13207547204</v>
      </c>
      <c r="J136" s="76"/>
      <c r="K136" s="35" t="s">
        <v>322</v>
      </c>
      <c r="L136" s="83">
        <v>12</v>
      </c>
      <c r="M136" s="83" t="s">
        <v>57</v>
      </c>
      <c r="N136" s="85">
        <v>0</v>
      </c>
      <c r="O136" s="83" t="s">
        <v>40</v>
      </c>
      <c r="P136" s="83"/>
      <c r="Q136" s="86" t="str">
        <f>K136</f>
        <v>席军民</v>
      </c>
      <c r="R136" s="87">
        <v>1</v>
      </c>
      <c r="S136" s="86">
        <f t="shared" si="0"/>
        <v>693396.22641509399</v>
      </c>
      <c r="T136" s="86">
        <f t="shared" si="1"/>
        <v>586481.13207547204</v>
      </c>
      <c r="U136" s="86">
        <v>0</v>
      </c>
      <c r="V136" s="87">
        <v>0</v>
      </c>
      <c r="W136" s="86">
        <v>0</v>
      </c>
      <c r="X136" s="86">
        <v>0</v>
      </c>
      <c r="Y136" s="86">
        <v>0</v>
      </c>
      <c r="Z136" s="86">
        <v>0</v>
      </c>
      <c r="AA136" s="86">
        <v>0</v>
      </c>
      <c r="AB136" s="165">
        <v>0</v>
      </c>
      <c r="AC136" s="165">
        <v>0</v>
      </c>
    </row>
    <row r="137" spans="1:29" ht="16.5" x14ac:dyDescent="0.15">
      <c r="A137" s="35" t="s">
        <v>36</v>
      </c>
      <c r="B137" s="35" t="s">
        <v>304</v>
      </c>
      <c r="C137" s="83"/>
      <c r="D137" s="35" t="s">
        <v>36</v>
      </c>
      <c r="E137" s="75" t="s">
        <v>338</v>
      </c>
      <c r="F137" s="77">
        <v>1403280</v>
      </c>
      <c r="G137" s="77">
        <v>1323849.05660377</v>
      </c>
      <c r="H137" s="84">
        <v>0.18</v>
      </c>
      <c r="I137" s="77">
        <v>238292.83018867901</v>
      </c>
      <c r="J137" s="76"/>
      <c r="K137" s="35" t="s">
        <v>315</v>
      </c>
      <c r="L137" s="83">
        <v>12</v>
      </c>
      <c r="M137" s="83" t="s">
        <v>57</v>
      </c>
      <c r="N137" s="85">
        <v>0</v>
      </c>
      <c r="O137" s="83" t="s">
        <v>40</v>
      </c>
      <c r="P137" s="83"/>
      <c r="Q137" s="86" t="str">
        <f>K137</f>
        <v>赵乐</v>
      </c>
      <c r="R137" s="87">
        <v>1</v>
      </c>
      <c r="S137" s="86">
        <f t="shared" si="0"/>
        <v>1323849.05660377</v>
      </c>
      <c r="T137" s="86">
        <f t="shared" si="1"/>
        <v>238292.83018867901</v>
      </c>
      <c r="U137" s="86">
        <v>0</v>
      </c>
      <c r="V137" s="87">
        <v>0</v>
      </c>
      <c r="W137" s="86">
        <v>0</v>
      </c>
      <c r="X137" s="86">
        <v>0</v>
      </c>
      <c r="Y137" s="86">
        <v>0</v>
      </c>
      <c r="Z137" s="86">
        <v>0</v>
      </c>
      <c r="AA137" s="86">
        <v>0</v>
      </c>
      <c r="AB137" s="165">
        <v>0</v>
      </c>
      <c r="AC137" s="165" t="s">
        <v>32</v>
      </c>
    </row>
    <row r="138" spans="1:29" ht="16.5" x14ac:dyDescent="0.15">
      <c r="A138" s="35" t="s">
        <v>36</v>
      </c>
      <c r="B138" s="35" t="s">
        <v>304</v>
      </c>
      <c r="C138" s="83"/>
      <c r="D138" s="35" t="s">
        <v>36</v>
      </c>
      <c r="E138" s="75" t="s">
        <v>364</v>
      </c>
      <c r="F138" s="77">
        <v>17900</v>
      </c>
      <c r="G138" s="77">
        <v>16886.792452830199</v>
      </c>
      <c r="H138" s="84">
        <v>0.97970000000000002</v>
      </c>
      <c r="I138" s="77">
        <v>16543.990566037701</v>
      </c>
      <c r="J138" s="76"/>
      <c r="K138" s="35" t="s">
        <v>318</v>
      </c>
      <c r="L138" s="83">
        <v>12</v>
      </c>
      <c r="M138" s="83" t="s">
        <v>57</v>
      </c>
      <c r="N138" s="85">
        <v>0</v>
      </c>
      <c r="O138" s="83" t="s">
        <v>40</v>
      </c>
      <c r="P138" s="83"/>
      <c r="Q138" s="165" t="s">
        <v>315</v>
      </c>
      <c r="R138" s="170">
        <v>1</v>
      </c>
      <c r="S138" s="165">
        <f t="shared" si="0"/>
        <v>16886.792452830199</v>
      </c>
      <c r="T138" s="165">
        <f t="shared" si="1"/>
        <v>16543.990566037701</v>
      </c>
      <c r="U138" s="165">
        <v>0</v>
      </c>
      <c r="V138" s="170">
        <v>0</v>
      </c>
      <c r="W138" s="165">
        <v>0</v>
      </c>
      <c r="X138" s="165">
        <v>0</v>
      </c>
      <c r="Y138" s="165">
        <v>0</v>
      </c>
      <c r="Z138" s="165">
        <v>0</v>
      </c>
      <c r="AA138" s="165">
        <v>0</v>
      </c>
      <c r="AB138" s="165">
        <v>0</v>
      </c>
      <c r="AC138" s="165">
        <v>0</v>
      </c>
    </row>
    <row r="139" spans="1:29" ht="16.5" x14ac:dyDescent="0.15">
      <c r="A139" s="35" t="s">
        <v>36</v>
      </c>
      <c r="B139" s="35" t="s">
        <v>304</v>
      </c>
      <c r="C139" s="83"/>
      <c r="D139" s="35" t="s">
        <v>36</v>
      </c>
      <c r="E139" s="75" t="s">
        <v>303</v>
      </c>
      <c r="F139" s="77">
        <v>45360</v>
      </c>
      <c r="G139" s="77">
        <v>38769.230769230802</v>
      </c>
      <c r="H139" s="84">
        <v>0.46129999999999999</v>
      </c>
      <c r="I139" s="77">
        <v>17884.246153846201</v>
      </c>
      <c r="J139" s="76"/>
      <c r="K139" s="35" t="s">
        <v>305</v>
      </c>
      <c r="L139" s="83">
        <v>12</v>
      </c>
      <c r="M139" s="83" t="s">
        <v>57</v>
      </c>
      <c r="N139" s="85">
        <v>0</v>
      </c>
      <c r="O139" s="83" t="s">
        <v>40</v>
      </c>
      <c r="P139" s="83"/>
      <c r="Q139" s="86" t="str">
        <f>K139</f>
        <v>王光鹏</v>
      </c>
      <c r="R139" s="87">
        <v>1</v>
      </c>
      <c r="S139" s="86">
        <f t="shared" si="0"/>
        <v>38769.230769230802</v>
      </c>
      <c r="T139" s="86">
        <f t="shared" si="1"/>
        <v>17884.246153846201</v>
      </c>
      <c r="U139" s="86">
        <v>0</v>
      </c>
      <c r="V139" s="87">
        <v>0</v>
      </c>
      <c r="W139" s="86">
        <v>0</v>
      </c>
      <c r="X139" s="86">
        <v>0</v>
      </c>
      <c r="Y139" s="86">
        <v>0</v>
      </c>
      <c r="Z139" s="86">
        <v>0</v>
      </c>
      <c r="AA139" s="86">
        <v>0</v>
      </c>
      <c r="AB139" s="86">
        <v>0</v>
      </c>
      <c r="AC139" s="86" t="s">
        <v>32</v>
      </c>
    </row>
    <row r="140" spans="1:29" ht="16.5" x14ac:dyDescent="0.15">
      <c r="A140" s="35" t="s">
        <v>36</v>
      </c>
      <c r="B140" s="35" t="s">
        <v>304</v>
      </c>
      <c r="C140" s="83"/>
      <c r="D140" s="35" t="s">
        <v>36</v>
      </c>
      <c r="E140" s="75" t="s">
        <v>317</v>
      </c>
      <c r="F140" s="77">
        <v>-2704000</v>
      </c>
      <c r="G140" s="77">
        <v>-2550943.3962264098</v>
      </c>
      <c r="H140" s="84">
        <v>0.97041420118343202</v>
      </c>
      <c r="I140" s="77">
        <v>-2475471.69811321</v>
      </c>
      <c r="J140" s="76"/>
      <c r="K140" s="35" t="s">
        <v>318</v>
      </c>
      <c r="L140" s="83">
        <v>12</v>
      </c>
      <c r="M140" s="83" t="s">
        <v>57</v>
      </c>
      <c r="N140" s="85">
        <v>0</v>
      </c>
      <c r="O140" s="83" t="s">
        <v>40</v>
      </c>
      <c r="P140" s="83"/>
      <c r="Q140" s="86" t="s">
        <v>315</v>
      </c>
      <c r="R140" s="87">
        <v>1</v>
      </c>
      <c r="S140" s="86">
        <f t="shared" si="0"/>
        <v>-2550943.3962264098</v>
      </c>
      <c r="T140" s="86">
        <f t="shared" si="1"/>
        <v>-2475471.69811321</v>
      </c>
      <c r="U140" s="86" t="e">
        <v>#N/A</v>
      </c>
      <c r="V140" s="87" t="e">
        <v>#N/A</v>
      </c>
      <c r="W140" s="86">
        <v>0</v>
      </c>
      <c r="X140" s="86" t="e">
        <v>#N/A</v>
      </c>
      <c r="Y140" s="86" t="e">
        <v>#N/A</v>
      </c>
      <c r="Z140" s="86" t="e">
        <v>#N/A</v>
      </c>
      <c r="AA140" s="86" t="e">
        <v>#N/A</v>
      </c>
      <c r="AB140" s="86" t="e">
        <v>#N/A</v>
      </c>
      <c r="AC140" s="86" t="e">
        <v>#N/A</v>
      </c>
    </row>
    <row r="141" spans="1:29" ht="16.5" x14ac:dyDescent="0.15">
      <c r="A141" s="35" t="s">
        <v>36</v>
      </c>
      <c r="B141" s="35" t="s">
        <v>304</v>
      </c>
      <c r="C141" s="83"/>
      <c r="D141" s="35" t="s">
        <v>36</v>
      </c>
      <c r="E141" s="75" t="s">
        <v>317</v>
      </c>
      <c r="F141" s="77">
        <v>2704000</v>
      </c>
      <c r="G141" s="77">
        <v>2550943.3962264098</v>
      </c>
      <c r="H141" s="84">
        <v>0.94579999999999997</v>
      </c>
      <c r="I141" s="77">
        <v>2412682.2641509399</v>
      </c>
      <c r="J141" s="76"/>
      <c r="K141" s="35" t="s">
        <v>318</v>
      </c>
      <c r="L141" s="83">
        <v>12</v>
      </c>
      <c r="M141" s="83" t="s">
        <v>57</v>
      </c>
      <c r="N141" s="85">
        <v>0</v>
      </c>
      <c r="O141" s="83" t="s">
        <v>40</v>
      </c>
      <c r="P141" s="83"/>
      <c r="Q141" s="86" t="s">
        <v>315</v>
      </c>
      <c r="R141" s="87">
        <v>1</v>
      </c>
      <c r="S141" s="86">
        <f t="shared" si="0"/>
        <v>2550943.3962264098</v>
      </c>
      <c r="T141" s="86">
        <f t="shared" si="1"/>
        <v>2412682.2641509399</v>
      </c>
      <c r="U141" s="86" t="e">
        <v>#N/A</v>
      </c>
      <c r="V141" s="87" t="e">
        <v>#N/A</v>
      </c>
      <c r="W141" s="86">
        <v>0</v>
      </c>
      <c r="X141" s="86" t="e">
        <v>#N/A</v>
      </c>
      <c r="Y141" s="86" t="e">
        <v>#N/A</v>
      </c>
      <c r="Z141" s="86" t="e">
        <v>#N/A</v>
      </c>
      <c r="AA141" s="86" t="e">
        <v>#N/A</v>
      </c>
      <c r="AB141" s="86" t="e">
        <v>#N/A</v>
      </c>
      <c r="AC141" s="86" t="e">
        <v>#N/A</v>
      </c>
    </row>
    <row r="142" spans="1:29" ht="16.5" x14ac:dyDescent="0.15">
      <c r="A142" s="35" t="s">
        <v>306</v>
      </c>
      <c r="B142" s="35" t="s">
        <v>304</v>
      </c>
      <c r="C142" s="83"/>
      <c r="D142" s="35" t="s">
        <v>306</v>
      </c>
      <c r="E142" s="75" t="s">
        <v>325</v>
      </c>
      <c r="F142" s="77">
        <v>114000</v>
      </c>
      <c r="G142" s="77">
        <v>107547.169811321</v>
      </c>
      <c r="H142" s="84">
        <v>0.9</v>
      </c>
      <c r="I142" s="77">
        <v>96792.452830188704</v>
      </c>
      <c r="J142" s="76"/>
      <c r="K142" s="35" t="s">
        <v>308</v>
      </c>
      <c r="L142" s="83">
        <v>12</v>
      </c>
      <c r="M142" s="83" t="s">
        <v>57</v>
      </c>
      <c r="N142" s="85">
        <v>0</v>
      </c>
      <c r="O142" s="83" t="s">
        <v>310</v>
      </c>
      <c r="P142" s="83"/>
      <c r="Q142" s="86" t="str">
        <f t="shared" ref="Q142:Q147" si="2">K142</f>
        <v>王丽鹃</v>
      </c>
      <c r="R142" s="87">
        <v>0.8</v>
      </c>
      <c r="S142" s="86">
        <f t="shared" si="0"/>
        <v>86037.7358490568</v>
      </c>
      <c r="T142" s="86">
        <f t="shared" si="1"/>
        <v>77433.962264150963</v>
      </c>
      <c r="U142" s="86" t="s">
        <v>311</v>
      </c>
      <c r="V142" s="87">
        <v>0.2</v>
      </c>
      <c r="W142" s="86">
        <f>G142*V142</f>
        <v>21509.4339622642</v>
      </c>
      <c r="X142" s="86">
        <f>I142*V142</f>
        <v>19358.490566037741</v>
      </c>
      <c r="Y142" s="86">
        <v>0</v>
      </c>
      <c r="Z142" s="86">
        <v>0</v>
      </c>
      <c r="AA142" s="86">
        <v>0</v>
      </c>
      <c r="AB142" s="86">
        <v>0</v>
      </c>
      <c r="AC142" s="86" t="s">
        <v>32</v>
      </c>
    </row>
    <row r="143" spans="1:29" ht="16.5" x14ac:dyDescent="0.15">
      <c r="A143" s="35" t="s">
        <v>36</v>
      </c>
      <c r="B143" s="35" t="s">
        <v>304</v>
      </c>
      <c r="C143" s="83"/>
      <c r="D143" s="35" t="s">
        <v>36</v>
      </c>
      <c r="E143" s="75" t="s">
        <v>365</v>
      </c>
      <c r="F143" s="77">
        <v>1211000</v>
      </c>
      <c r="G143" s="77">
        <v>1142452.83018868</v>
      </c>
      <c r="H143" s="84">
        <v>0.852229562345169</v>
      </c>
      <c r="I143" s="77">
        <v>973632.07547169796</v>
      </c>
      <c r="J143" s="76"/>
      <c r="K143" s="35" t="s">
        <v>322</v>
      </c>
      <c r="L143" s="83">
        <v>12</v>
      </c>
      <c r="M143" s="83" t="s">
        <v>57</v>
      </c>
      <c r="N143" s="85">
        <v>0</v>
      </c>
      <c r="O143" s="83" t="s">
        <v>40</v>
      </c>
      <c r="P143" s="83"/>
      <c r="Q143" s="86" t="str">
        <f t="shared" si="2"/>
        <v>席军民</v>
      </c>
      <c r="R143" s="87">
        <v>1</v>
      </c>
      <c r="S143" s="86">
        <f t="shared" si="0"/>
        <v>1142452.83018868</v>
      </c>
      <c r="T143" s="86">
        <f t="shared" si="1"/>
        <v>973632.07547169796</v>
      </c>
      <c r="U143" s="86">
        <v>0</v>
      </c>
      <c r="V143" s="87">
        <v>0</v>
      </c>
      <c r="W143" s="86">
        <v>0</v>
      </c>
      <c r="X143" s="86">
        <v>0</v>
      </c>
      <c r="Y143" s="86">
        <v>0</v>
      </c>
      <c r="Z143" s="86">
        <v>0</v>
      </c>
      <c r="AA143" s="86">
        <v>0</v>
      </c>
      <c r="AB143" s="86">
        <v>0</v>
      </c>
      <c r="AC143" s="86">
        <v>0</v>
      </c>
    </row>
    <row r="144" spans="1:29" ht="16.5" x14ac:dyDescent="0.15">
      <c r="A144" s="35" t="s">
        <v>36</v>
      </c>
      <c r="B144" s="35" t="s">
        <v>304</v>
      </c>
      <c r="C144" s="83"/>
      <c r="D144" s="35" t="s">
        <v>36</v>
      </c>
      <c r="E144" s="75" t="s">
        <v>366</v>
      </c>
      <c r="F144" s="77">
        <v>129000</v>
      </c>
      <c r="G144" s="77">
        <v>121698.11320754699</v>
      </c>
      <c r="H144" s="84">
        <v>1</v>
      </c>
      <c r="I144" s="77">
        <v>121698.11320754699</v>
      </c>
      <c r="J144" s="76"/>
      <c r="K144" s="35" t="s">
        <v>315</v>
      </c>
      <c r="L144" s="83">
        <v>12</v>
      </c>
      <c r="M144" s="83" t="s">
        <v>57</v>
      </c>
      <c r="N144" s="85">
        <v>0</v>
      </c>
      <c r="O144" s="83" t="s">
        <v>40</v>
      </c>
      <c r="P144" s="83"/>
      <c r="Q144" s="86" t="str">
        <f t="shared" si="2"/>
        <v>赵乐</v>
      </c>
      <c r="R144" s="87">
        <v>1</v>
      </c>
      <c r="S144" s="86">
        <f t="shared" si="0"/>
        <v>121698.11320754699</v>
      </c>
      <c r="T144" s="86">
        <f t="shared" si="1"/>
        <v>121698.11320754699</v>
      </c>
      <c r="U144" s="86">
        <v>0</v>
      </c>
      <c r="V144" s="87">
        <v>0</v>
      </c>
      <c r="W144" s="86">
        <v>0</v>
      </c>
      <c r="X144" s="86">
        <v>0</v>
      </c>
      <c r="Y144" s="86">
        <v>0</v>
      </c>
      <c r="Z144" s="86">
        <v>0</v>
      </c>
      <c r="AA144" s="86">
        <v>0</v>
      </c>
      <c r="AB144" s="86">
        <v>0</v>
      </c>
      <c r="AC144" s="86">
        <v>0</v>
      </c>
    </row>
    <row r="145" spans="1:29" ht="16.5" x14ac:dyDescent="0.15">
      <c r="A145" s="35" t="s">
        <v>36</v>
      </c>
      <c r="B145" s="35" t="s">
        <v>304</v>
      </c>
      <c r="C145" s="83"/>
      <c r="D145" s="35" t="s">
        <v>36</v>
      </c>
      <c r="E145" s="75" t="s">
        <v>339</v>
      </c>
      <c r="F145" s="77">
        <v>290500</v>
      </c>
      <c r="G145" s="77">
        <v>274056.603773585</v>
      </c>
      <c r="H145" s="84">
        <v>0.80720000000000003</v>
      </c>
      <c r="I145" s="77">
        <v>221218.490566038</v>
      </c>
      <c r="J145" s="76"/>
      <c r="K145" s="35" t="s">
        <v>322</v>
      </c>
      <c r="L145" s="83">
        <v>12</v>
      </c>
      <c r="M145" s="83" t="s">
        <v>57</v>
      </c>
      <c r="N145" s="85">
        <v>0</v>
      </c>
      <c r="O145" s="83" t="s">
        <v>40</v>
      </c>
      <c r="P145" s="83"/>
      <c r="Q145" s="86" t="str">
        <f t="shared" si="2"/>
        <v>席军民</v>
      </c>
      <c r="R145" s="87">
        <v>1</v>
      </c>
      <c r="S145" s="86">
        <f t="shared" si="0"/>
        <v>274056.603773585</v>
      </c>
      <c r="T145" s="86">
        <f t="shared" si="1"/>
        <v>221218.490566038</v>
      </c>
      <c r="U145" s="86">
        <v>0</v>
      </c>
      <c r="V145" s="87">
        <v>0</v>
      </c>
      <c r="W145" s="86">
        <v>0</v>
      </c>
      <c r="X145" s="86">
        <v>0</v>
      </c>
      <c r="Y145" s="86">
        <v>0</v>
      </c>
      <c r="Z145" s="86">
        <v>0</v>
      </c>
      <c r="AA145" s="86">
        <v>0</v>
      </c>
      <c r="AB145" s="165">
        <v>0</v>
      </c>
      <c r="AC145" s="165" t="s">
        <v>32</v>
      </c>
    </row>
    <row r="146" spans="1:29" ht="16.5" x14ac:dyDescent="0.15">
      <c r="A146" s="35" t="s">
        <v>36</v>
      </c>
      <c r="B146" s="35" t="s">
        <v>304</v>
      </c>
      <c r="C146" s="83"/>
      <c r="D146" s="35" t="s">
        <v>36</v>
      </c>
      <c r="E146" s="75" t="s">
        <v>312</v>
      </c>
      <c r="F146" s="77">
        <v>56000</v>
      </c>
      <c r="G146" s="77">
        <v>52830.188679245301</v>
      </c>
      <c r="H146" s="84">
        <v>1</v>
      </c>
      <c r="I146" s="77">
        <v>52830.188679245301</v>
      </c>
      <c r="J146" s="76"/>
      <c r="K146" s="35" t="s">
        <v>305</v>
      </c>
      <c r="L146" s="83">
        <v>12</v>
      </c>
      <c r="M146" s="83" t="s">
        <v>57</v>
      </c>
      <c r="N146" s="85">
        <v>0</v>
      </c>
      <c r="O146" s="83" t="s">
        <v>40</v>
      </c>
      <c r="P146" s="83"/>
      <c r="Q146" s="86" t="str">
        <f t="shared" si="2"/>
        <v>王光鹏</v>
      </c>
      <c r="R146" s="87">
        <v>1</v>
      </c>
      <c r="S146" s="86">
        <f t="shared" si="0"/>
        <v>52830.188679245301</v>
      </c>
      <c r="T146" s="86">
        <f t="shared" si="1"/>
        <v>52830.188679245301</v>
      </c>
      <c r="U146" s="86">
        <v>0</v>
      </c>
      <c r="V146" s="87">
        <v>0</v>
      </c>
      <c r="W146" s="86">
        <v>0</v>
      </c>
      <c r="X146" s="86">
        <v>0</v>
      </c>
      <c r="Y146" s="86">
        <v>0</v>
      </c>
      <c r="Z146" s="86">
        <v>0</v>
      </c>
      <c r="AA146" s="86">
        <v>0</v>
      </c>
      <c r="AB146" s="165">
        <v>0</v>
      </c>
      <c r="AC146" s="165">
        <v>0</v>
      </c>
    </row>
    <row r="147" spans="1:29" ht="16.5" x14ac:dyDescent="0.15">
      <c r="A147" s="35" t="s">
        <v>36</v>
      </c>
      <c r="B147" s="35" t="s">
        <v>304</v>
      </c>
      <c r="C147" s="83"/>
      <c r="D147" s="35" t="s">
        <v>36</v>
      </c>
      <c r="E147" s="75" t="s">
        <v>334</v>
      </c>
      <c r="F147" s="77">
        <v>113940</v>
      </c>
      <c r="G147" s="77">
        <v>107490.566037736</v>
      </c>
      <c r="H147" s="84">
        <v>1</v>
      </c>
      <c r="I147" s="77">
        <v>107490.566037736</v>
      </c>
      <c r="J147" s="76"/>
      <c r="K147" s="35" t="s">
        <v>315</v>
      </c>
      <c r="L147" s="83">
        <v>12</v>
      </c>
      <c r="M147" s="83" t="s">
        <v>57</v>
      </c>
      <c r="N147" s="85">
        <v>0</v>
      </c>
      <c r="O147" s="83" t="s">
        <v>40</v>
      </c>
      <c r="P147" s="83"/>
      <c r="Q147" s="165" t="str">
        <f t="shared" si="2"/>
        <v>赵乐</v>
      </c>
      <c r="R147" s="170">
        <v>1</v>
      </c>
      <c r="S147" s="165">
        <f t="shared" si="0"/>
        <v>107490.566037736</v>
      </c>
      <c r="T147" s="165">
        <f t="shared" si="1"/>
        <v>107490.566037736</v>
      </c>
      <c r="U147" s="165">
        <v>0</v>
      </c>
      <c r="V147" s="170">
        <v>0</v>
      </c>
      <c r="W147" s="165">
        <v>0</v>
      </c>
      <c r="X147" s="165">
        <v>0</v>
      </c>
      <c r="Y147" s="165">
        <v>0</v>
      </c>
      <c r="Z147" s="165">
        <v>0</v>
      </c>
      <c r="AA147" s="165">
        <v>0</v>
      </c>
      <c r="AB147" s="165">
        <v>0</v>
      </c>
      <c r="AC147" s="165" t="s">
        <v>35</v>
      </c>
    </row>
    <row r="148" spans="1:29" ht="16.5" x14ac:dyDescent="0.15">
      <c r="A148" s="35" t="s">
        <v>36</v>
      </c>
      <c r="B148" s="35" t="s">
        <v>304</v>
      </c>
      <c r="C148" s="83"/>
      <c r="D148" s="35" t="s">
        <v>36</v>
      </c>
      <c r="E148" s="75" t="s">
        <v>336</v>
      </c>
      <c r="F148" s="77">
        <v>441750</v>
      </c>
      <c r="G148" s="77">
        <v>416745.28301886801</v>
      </c>
      <c r="H148" s="84">
        <v>1</v>
      </c>
      <c r="I148" s="77">
        <v>416745.28301886801</v>
      </c>
      <c r="J148" s="76"/>
      <c r="K148" s="35" t="s">
        <v>318</v>
      </c>
      <c r="L148" s="83">
        <v>12</v>
      </c>
      <c r="M148" s="83" t="s">
        <v>57</v>
      </c>
      <c r="N148" s="85">
        <v>0</v>
      </c>
      <c r="O148" s="83" t="s">
        <v>40</v>
      </c>
      <c r="P148" s="83"/>
      <c r="Q148" s="86" t="s">
        <v>315</v>
      </c>
      <c r="R148" s="87">
        <v>1</v>
      </c>
      <c r="S148" s="86">
        <f t="shared" si="0"/>
        <v>416745.28301886801</v>
      </c>
      <c r="T148" s="86">
        <f t="shared" si="1"/>
        <v>416745.28301886801</v>
      </c>
      <c r="U148" s="86">
        <v>0</v>
      </c>
      <c r="V148" s="87">
        <v>0</v>
      </c>
      <c r="W148" s="86">
        <v>0</v>
      </c>
      <c r="X148" s="86">
        <v>0</v>
      </c>
      <c r="Y148" s="86">
        <v>0</v>
      </c>
      <c r="Z148" s="86">
        <v>0</v>
      </c>
      <c r="AA148" s="86">
        <v>0</v>
      </c>
      <c r="AB148" s="86">
        <v>0</v>
      </c>
      <c r="AC148" s="86" t="s">
        <v>35</v>
      </c>
    </row>
    <row r="149" spans="1:29" ht="16.5" x14ac:dyDescent="0.15">
      <c r="A149" s="35" t="s">
        <v>36</v>
      </c>
      <c r="B149" s="35" t="s">
        <v>304</v>
      </c>
      <c r="C149" s="83"/>
      <c r="D149" s="35" t="s">
        <v>36</v>
      </c>
      <c r="E149" s="75" t="s">
        <v>367</v>
      </c>
      <c r="F149" s="77">
        <v>19800</v>
      </c>
      <c r="G149" s="77">
        <v>18679.245283018899</v>
      </c>
      <c r="H149" s="84">
        <v>1</v>
      </c>
      <c r="I149" s="77">
        <v>18679.245283018899</v>
      </c>
      <c r="J149" s="76"/>
      <c r="K149" s="35" t="s">
        <v>368</v>
      </c>
      <c r="L149" s="83">
        <v>12</v>
      </c>
      <c r="M149" s="83" t="s">
        <v>57</v>
      </c>
      <c r="N149" s="85">
        <v>0</v>
      </c>
      <c r="O149" s="83" t="s">
        <v>40</v>
      </c>
      <c r="P149" s="83"/>
      <c r="Q149" s="86" t="s">
        <v>315</v>
      </c>
      <c r="R149" s="87">
        <v>1</v>
      </c>
      <c r="S149" s="86">
        <f t="shared" si="0"/>
        <v>18679.245283018899</v>
      </c>
      <c r="T149" s="86">
        <f t="shared" si="1"/>
        <v>18679.245283018899</v>
      </c>
      <c r="U149" s="86">
        <v>0</v>
      </c>
      <c r="V149" s="87">
        <v>0</v>
      </c>
      <c r="W149" s="86">
        <v>0</v>
      </c>
      <c r="X149" s="86">
        <v>0</v>
      </c>
      <c r="Y149" s="86">
        <v>0</v>
      </c>
      <c r="Z149" s="86">
        <v>0</v>
      </c>
      <c r="AA149" s="86">
        <v>0</v>
      </c>
      <c r="AB149" s="86">
        <v>0</v>
      </c>
      <c r="AC149" s="86">
        <v>0</v>
      </c>
    </row>
    <row r="150" spans="1:29" ht="16.5" x14ac:dyDescent="0.15">
      <c r="A150" s="35" t="s">
        <v>36</v>
      </c>
      <c r="B150" s="35" t="s">
        <v>304</v>
      </c>
      <c r="C150" s="83"/>
      <c r="D150" s="35" t="s">
        <v>36</v>
      </c>
      <c r="E150" s="75" t="s">
        <v>369</v>
      </c>
      <c r="F150" s="77">
        <v>19800</v>
      </c>
      <c r="G150" s="77">
        <v>18679.245283018899</v>
      </c>
      <c r="H150" s="84">
        <v>1</v>
      </c>
      <c r="I150" s="77">
        <v>18679.245283018899</v>
      </c>
      <c r="J150" s="76"/>
      <c r="K150" s="35" t="s">
        <v>368</v>
      </c>
      <c r="L150" s="83">
        <v>12</v>
      </c>
      <c r="M150" s="83" t="s">
        <v>57</v>
      </c>
      <c r="N150" s="85">
        <v>0</v>
      </c>
      <c r="O150" s="83" t="s">
        <v>40</v>
      </c>
      <c r="P150" s="83"/>
      <c r="Q150" s="86" t="s">
        <v>315</v>
      </c>
      <c r="R150" s="87">
        <v>1</v>
      </c>
      <c r="S150" s="86">
        <f t="shared" si="0"/>
        <v>18679.245283018899</v>
      </c>
      <c r="T150" s="86">
        <f t="shared" si="1"/>
        <v>18679.245283018899</v>
      </c>
      <c r="U150" s="86">
        <v>0</v>
      </c>
      <c r="V150" s="87">
        <v>0</v>
      </c>
      <c r="W150" s="86">
        <v>0</v>
      </c>
      <c r="X150" s="86">
        <v>0</v>
      </c>
      <c r="Y150" s="86">
        <v>0</v>
      </c>
      <c r="Z150" s="86">
        <v>0</v>
      </c>
      <c r="AA150" s="86">
        <v>0</v>
      </c>
      <c r="AB150" s="86">
        <v>0</v>
      </c>
      <c r="AC150" s="86">
        <v>0</v>
      </c>
    </row>
    <row r="151" spans="1:29" ht="16.5" x14ac:dyDescent="0.15">
      <c r="A151" s="35" t="s">
        <v>36</v>
      </c>
      <c r="B151" s="35" t="s">
        <v>304</v>
      </c>
      <c r="C151" s="83"/>
      <c r="D151" s="35" t="s">
        <v>36</v>
      </c>
      <c r="E151" s="75" t="s">
        <v>370</v>
      </c>
      <c r="F151" s="77">
        <v>249000</v>
      </c>
      <c r="G151" s="77">
        <v>234905.660377358</v>
      </c>
      <c r="H151" s="84">
        <v>1</v>
      </c>
      <c r="I151" s="77">
        <v>234905.660377358</v>
      </c>
      <c r="J151" s="76"/>
      <c r="K151" s="35" t="s">
        <v>322</v>
      </c>
      <c r="L151" s="83">
        <v>12</v>
      </c>
      <c r="M151" s="159" t="s">
        <v>57</v>
      </c>
      <c r="N151" s="162">
        <v>0</v>
      </c>
      <c r="O151" s="83" t="s">
        <v>40</v>
      </c>
      <c r="P151" s="83"/>
      <c r="Q151" s="86" t="str">
        <f>K151</f>
        <v>席军民</v>
      </c>
      <c r="R151" s="87">
        <v>1</v>
      </c>
      <c r="S151" s="86">
        <f t="shared" si="0"/>
        <v>234905.660377358</v>
      </c>
      <c r="T151" s="86">
        <f t="shared" si="1"/>
        <v>234905.660377358</v>
      </c>
      <c r="U151" s="86">
        <v>0</v>
      </c>
      <c r="V151" s="87">
        <v>0</v>
      </c>
      <c r="W151" s="86">
        <v>0</v>
      </c>
      <c r="X151" s="86">
        <v>0</v>
      </c>
      <c r="Y151" s="86">
        <v>0</v>
      </c>
      <c r="Z151" s="86">
        <v>0</v>
      </c>
      <c r="AA151" s="175">
        <v>0</v>
      </c>
      <c r="AB151" s="86">
        <v>0</v>
      </c>
      <c r="AC151" s="165" t="s">
        <v>108</v>
      </c>
    </row>
    <row r="152" spans="1:29" ht="16.5" x14ac:dyDescent="0.15">
      <c r="A152" s="35" t="s">
        <v>71</v>
      </c>
      <c r="B152" s="35" t="s">
        <v>304</v>
      </c>
      <c r="C152" s="83"/>
      <c r="D152" s="35" t="s">
        <v>7</v>
      </c>
      <c r="E152" s="75" t="s">
        <v>352</v>
      </c>
      <c r="F152" s="77">
        <v>3149792.1</v>
      </c>
      <c r="G152" s="77">
        <v>2692130</v>
      </c>
      <c r="H152" s="84">
        <v>0.24879999999999999</v>
      </c>
      <c r="I152" s="77">
        <v>669801.94400000002</v>
      </c>
      <c r="J152" s="76"/>
      <c r="K152" s="35" t="s">
        <v>353</v>
      </c>
      <c r="L152" s="83">
        <v>12</v>
      </c>
      <c r="M152" s="83" t="s">
        <v>57</v>
      </c>
      <c r="N152" s="85">
        <v>0</v>
      </c>
      <c r="O152" s="83" t="s">
        <v>74</v>
      </c>
      <c r="P152" s="83"/>
      <c r="Q152" s="86" t="str">
        <f>K152</f>
        <v>金冶</v>
      </c>
      <c r="R152" s="87">
        <v>1</v>
      </c>
      <c r="S152" s="86">
        <f t="shared" si="0"/>
        <v>2692130</v>
      </c>
      <c r="T152" s="86">
        <f t="shared" si="1"/>
        <v>669801.94400000002</v>
      </c>
      <c r="U152" s="86">
        <v>0</v>
      </c>
      <c r="V152" s="87">
        <v>0</v>
      </c>
      <c r="W152" s="86">
        <v>0</v>
      </c>
      <c r="X152" s="86">
        <v>0</v>
      </c>
      <c r="Y152" s="86">
        <v>0</v>
      </c>
      <c r="Z152" s="86">
        <v>0</v>
      </c>
      <c r="AA152" s="86">
        <v>0</v>
      </c>
      <c r="AB152" s="165">
        <v>0</v>
      </c>
      <c r="AC152" s="165" t="s">
        <v>32</v>
      </c>
    </row>
    <row r="153" spans="1:29" ht="16.5" x14ac:dyDescent="0.15">
      <c r="A153" s="35" t="s">
        <v>306</v>
      </c>
      <c r="B153" s="35" t="s">
        <v>304</v>
      </c>
      <c r="C153" s="83"/>
      <c r="D153" s="35" t="s">
        <v>306</v>
      </c>
      <c r="E153" s="75" t="s">
        <v>326</v>
      </c>
      <c r="F153" s="77">
        <v>1228350</v>
      </c>
      <c r="G153" s="77">
        <v>1158820.75471698</v>
      </c>
      <c r="H153" s="84">
        <v>0.82810681125086505</v>
      </c>
      <c r="I153" s="77">
        <v>959627.36</v>
      </c>
      <c r="J153" s="76"/>
      <c r="K153" s="35" t="s">
        <v>327</v>
      </c>
      <c r="L153" s="83">
        <v>12</v>
      </c>
      <c r="M153" s="83" t="s">
        <v>57</v>
      </c>
      <c r="N153" s="85">
        <v>0</v>
      </c>
      <c r="O153" s="83" t="s">
        <v>310</v>
      </c>
      <c r="P153" s="83"/>
      <c r="Q153" s="86" t="str">
        <f>K153</f>
        <v>林虹</v>
      </c>
      <c r="R153" s="87">
        <v>1</v>
      </c>
      <c r="S153" s="86">
        <f t="shared" si="0"/>
        <v>1158820.75471698</v>
      </c>
      <c r="T153" s="86">
        <f t="shared" si="1"/>
        <v>959627.36</v>
      </c>
      <c r="U153" s="86">
        <v>0</v>
      </c>
      <c r="V153" s="87">
        <v>0</v>
      </c>
      <c r="W153" s="86">
        <v>0</v>
      </c>
      <c r="X153" s="86">
        <v>0</v>
      </c>
      <c r="Y153" s="86">
        <v>0</v>
      </c>
      <c r="Z153" s="86">
        <v>0</v>
      </c>
      <c r="AA153" s="86">
        <v>0</v>
      </c>
      <c r="AB153" s="165">
        <v>0</v>
      </c>
      <c r="AC153" s="165">
        <v>0</v>
      </c>
    </row>
    <row r="154" spans="1:29" ht="16.5" x14ac:dyDescent="0.15">
      <c r="A154" s="35" t="s">
        <v>7</v>
      </c>
      <c r="B154" s="35" t="s">
        <v>304</v>
      </c>
      <c r="C154" s="83"/>
      <c r="D154" s="35" t="s">
        <v>7</v>
      </c>
      <c r="E154" s="75" t="s">
        <v>371</v>
      </c>
      <c r="F154" s="77">
        <v>263200</v>
      </c>
      <c r="G154" s="77">
        <v>224957.264957265</v>
      </c>
      <c r="H154" s="84">
        <v>9.7264437689969493E-2</v>
      </c>
      <c r="I154" s="77">
        <v>21880.341880341901</v>
      </c>
      <c r="J154" s="76"/>
      <c r="K154" s="35" t="s">
        <v>372</v>
      </c>
      <c r="L154" s="83">
        <v>12</v>
      </c>
      <c r="M154" s="83" t="s">
        <v>57</v>
      </c>
      <c r="N154" s="85">
        <v>0</v>
      </c>
      <c r="O154" s="83" t="s">
        <v>29</v>
      </c>
      <c r="P154" s="83"/>
      <c r="Q154" s="86" t="s">
        <v>311</v>
      </c>
      <c r="R154" s="87">
        <v>1</v>
      </c>
      <c r="S154" s="86">
        <f t="shared" si="0"/>
        <v>224957.264957265</v>
      </c>
      <c r="T154" s="86">
        <f t="shared" si="1"/>
        <v>21880.341880341901</v>
      </c>
      <c r="U154" s="86">
        <v>0</v>
      </c>
      <c r="V154" s="87">
        <v>0</v>
      </c>
      <c r="W154" s="86">
        <v>0</v>
      </c>
      <c r="X154" s="86">
        <v>0</v>
      </c>
      <c r="Y154" s="86">
        <v>0</v>
      </c>
      <c r="Z154" s="86">
        <v>0</v>
      </c>
      <c r="AA154" s="86">
        <v>0</v>
      </c>
      <c r="AB154" s="165">
        <v>0</v>
      </c>
      <c r="AC154" s="165">
        <v>0</v>
      </c>
    </row>
    <row r="155" spans="1:29" ht="16.5" x14ac:dyDescent="0.15">
      <c r="A155" s="35" t="s">
        <v>306</v>
      </c>
      <c r="B155" s="35" t="s">
        <v>304</v>
      </c>
      <c r="C155" s="83"/>
      <c r="D155" s="35" t="s">
        <v>306</v>
      </c>
      <c r="E155" s="75" t="s">
        <v>373</v>
      </c>
      <c r="F155" s="77">
        <v>1918950</v>
      </c>
      <c r="G155" s="77">
        <v>1810330.18867925</v>
      </c>
      <c r="H155" s="84">
        <v>0.61427744339352297</v>
      </c>
      <c r="I155" s="77">
        <v>1112045</v>
      </c>
      <c r="J155" s="76"/>
      <c r="K155" s="35" t="s">
        <v>374</v>
      </c>
      <c r="L155" s="83">
        <v>12</v>
      </c>
      <c r="M155" s="83" t="s">
        <v>57</v>
      </c>
      <c r="N155" s="85">
        <v>0</v>
      </c>
      <c r="O155" s="83" t="s">
        <v>310</v>
      </c>
      <c r="P155" s="83"/>
      <c r="Q155" s="165" t="str">
        <f>K155</f>
        <v>薛玄</v>
      </c>
      <c r="R155" s="170">
        <v>1</v>
      </c>
      <c r="S155" s="165">
        <f t="shared" si="0"/>
        <v>1810330.18867925</v>
      </c>
      <c r="T155" s="165">
        <f t="shared" si="1"/>
        <v>1112045</v>
      </c>
      <c r="U155" s="165">
        <v>0</v>
      </c>
      <c r="V155" s="170">
        <v>0</v>
      </c>
      <c r="W155" s="165">
        <v>0</v>
      </c>
      <c r="X155" s="165">
        <v>0</v>
      </c>
      <c r="Y155" s="165">
        <v>0</v>
      </c>
      <c r="Z155" s="165">
        <v>0</v>
      </c>
      <c r="AA155" s="165">
        <v>0</v>
      </c>
      <c r="AB155" s="165">
        <v>0</v>
      </c>
      <c r="AC155" s="165">
        <v>0</v>
      </c>
    </row>
    <row r="156" spans="1:29" ht="16.5" x14ac:dyDescent="0.15">
      <c r="A156" s="35" t="s">
        <v>36</v>
      </c>
      <c r="B156" s="35" t="s">
        <v>304</v>
      </c>
      <c r="C156" s="83"/>
      <c r="D156" s="35" t="s">
        <v>36</v>
      </c>
      <c r="E156" s="75" t="s">
        <v>375</v>
      </c>
      <c r="F156" s="77">
        <v>120000</v>
      </c>
      <c r="G156" s="77">
        <v>113207.54716981101</v>
      </c>
      <c r="H156" s="84">
        <v>1</v>
      </c>
      <c r="I156" s="77">
        <v>113207.54716981101</v>
      </c>
      <c r="J156" s="76"/>
      <c r="K156" s="35" t="s">
        <v>376</v>
      </c>
      <c r="L156" s="83">
        <v>12</v>
      </c>
      <c r="M156" s="83" t="s">
        <v>57</v>
      </c>
      <c r="N156" s="85">
        <v>0</v>
      </c>
      <c r="O156" s="83" t="s">
        <v>40</v>
      </c>
      <c r="P156" s="83"/>
      <c r="Q156" s="86" t="s">
        <v>315</v>
      </c>
      <c r="R156" s="87">
        <v>1</v>
      </c>
      <c r="S156" s="86">
        <f t="shared" si="0"/>
        <v>113207.54716981101</v>
      </c>
      <c r="T156" s="86">
        <f t="shared" si="1"/>
        <v>113207.54716981101</v>
      </c>
      <c r="U156" s="86">
        <v>0</v>
      </c>
      <c r="V156" s="87">
        <v>0</v>
      </c>
      <c r="W156" s="86">
        <v>0</v>
      </c>
      <c r="X156" s="86">
        <v>0</v>
      </c>
      <c r="Y156" s="86">
        <v>0</v>
      </c>
      <c r="Z156" s="86">
        <v>0</v>
      </c>
      <c r="AA156" s="86">
        <v>0</v>
      </c>
      <c r="AB156" s="86">
        <v>0</v>
      </c>
      <c r="AC156" s="86">
        <v>0</v>
      </c>
    </row>
    <row r="157" spans="1:29" ht="16.5" x14ac:dyDescent="0.35">
      <c r="A157" s="35" t="s">
        <v>7</v>
      </c>
      <c r="B157" s="35" t="s">
        <v>304</v>
      </c>
      <c r="C157" s="74"/>
      <c r="D157" s="35" t="s">
        <v>7</v>
      </c>
      <c r="E157" s="41" t="s">
        <v>377</v>
      </c>
      <c r="F157" s="42">
        <v>61361.370000000097</v>
      </c>
      <c r="G157" s="42">
        <v>57888.0849056605</v>
      </c>
      <c r="H157" s="19">
        <v>0.47673876553136202</v>
      </c>
      <c r="I157" s="42">
        <v>27597.4941368992</v>
      </c>
      <c r="J157" s="88"/>
      <c r="K157" s="35" t="s">
        <v>359</v>
      </c>
      <c r="L157" s="35">
        <v>10</v>
      </c>
      <c r="M157" s="35" t="s">
        <v>57</v>
      </c>
      <c r="N157" s="44"/>
      <c r="O157" s="35" t="s">
        <v>29</v>
      </c>
      <c r="P157" s="19" t="s">
        <v>378</v>
      </c>
      <c r="Q157" s="86" t="s">
        <v>374</v>
      </c>
      <c r="R157" s="87">
        <v>1</v>
      </c>
      <c r="S157" s="86">
        <f t="shared" si="0"/>
        <v>57888.0849056605</v>
      </c>
      <c r="T157" s="86">
        <f t="shared" si="1"/>
        <v>27597.4941368992</v>
      </c>
      <c r="U157" s="86"/>
      <c r="V157" s="86"/>
      <c r="W157" s="86"/>
      <c r="X157" s="86"/>
      <c r="Y157" s="86"/>
      <c r="Z157" s="86"/>
      <c r="AA157" s="86"/>
      <c r="AB157" s="86"/>
      <c r="AC157" s="86"/>
    </row>
    <row r="158" spans="1:29" ht="16.5" x14ac:dyDescent="0.35">
      <c r="A158" s="35" t="s">
        <v>7</v>
      </c>
      <c r="B158" s="35" t="s">
        <v>304</v>
      </c>
      <c r="C158" s="74"/>
      <c r="D158" s="35" t="s">
        <v>7</v>
      </c>
      <c r="E158" s="41" t="s">
        <v>379</v>
      </c>
      <c r="F158" s="42">
        <v>14850</v>
      </c>
      <c r="G158" s="42">
        <v>14009.4339622642</v>
      </c>
      <c r="H158" s="19">
        <v>0.1</v>
      </c>
      <c r="I158" s="42">
        <v>1400.94339622642</v>
      </c>
      <c r="J158" s="88"/>
      <c r="K158" s="35" t="s">
        <v>359</v>
      </c>
      <c r="L158" s="35">
        <v>10</v>
      </c>
      <c r="M158" s="35" t="s">
        <v>57</v>
      </c>
      <c r="N158" s="44"/>
      <c r="O158" s="35" t="s">
        <v>29</v>
      </c>
      <c r="P158" s="19" t="s">
        <v>378</v>
      </c>
      <c r="Q158" s="86" t="s">
        <v>374</v>
      </c>
      <c r="R158" s="87">
        <v>1</v>
      </c>
      <c r="S158" s="86">
        <f t="shared" ref="S158:S189" si="3">G158*R158</f>
        <v>14009.4339622642</v>
      </c>
      <c r="T158" s="86">
        <f t="shared" ref="T158:T189" si="4">I158*R158</f>
        <v>1400.94339622642</v>
      </c>
      <c r="U158" s="86"/>
      <c r="V158" s="86"/>
      <c r="W158" s="86"/>
      <c r="X158" s="86"/>
      <c r="Y158" s="86"/>
      <c r="Z158" s="86"/>
      <c r="AA158" s="86"/>
      <c r="AB158" s="86"/>
      <c r="AC158" s="86"/>
    </row>
    <row r="159" spans="1:29" ht="16.5" x14ac:dyDescent="0.35">
      <c r="A159" s="35" t="s">
        <v>7</v>
      </c>
      <c r="B159" s="35" t="s">
        <v>304</v>
      </c>
      <c r="C159" s="74"/>
      <c r="D159" s="35" t="s">
        <v>7</v>
      </c>
      <c r="E159" s="41" t="s">
        <v>380</v>
      </c>
      <c r="F159" s="42"/>
      <c r="G159" s="42"/>
      <c r="H159" s="19"/>
      <c r="I159" s="42">
        <v>102921.4368</v>
      </c>
      <c r="J159" s="88"/>
      <c r="K159" s="35"/>
      <c r="L159" s="35">
        <v>10</v>
      </c>
      <c r="M159" s="35" t="s">
        <v>57</v>
      </c>
      <c r="N159" s="44">
        <v>102921.4368</v>
      </c>
      <c r="O159" s="35" t="s">
        <v>29</v>
      </c>
      <c r="P159" s="19"/>
      <c r="Q159" s="86">
        <f>K159</f>
        <v>0</v>
      </c>
      <c r="R159" s="87">
        <v>1</v>
      </c>
      <c r="S159" s="86">
        <f t="shared" si="3"/>
        <v>0</v>
      </c>
      <c r="T159" s="86">
        <f t="shared" si="4"/>
        <v>102921.4368</v>
      </c>
      <c r="U159" s="86"/>
      <c r="V159" s="86"/>
      <c r="W159" s="86"/>
      <c r="X159" s="86"/>
      <c r="Y159" s="86"/>
      <c r="Z159" s="86"/>
      <c r="AA159" s="86"/>
      <c r="AB159" s="86"/>
      <c r="AC159" s="86"/>
    </row>
    <row r="160" spans="1:29" ht="16.5" x14ac:dyDescent="0.35">
      <c r="A160" s="35" t="s">
        <v>102</v>
      </c>
      <c r="B160" s="35" t="s">
        <v>304</v>
      </c>
      <c r="C160" s="74"/>
      <c r="D160" s="35" t="s">
        <v>102</v>
      </c>
      <c r="E160" s="41" t="s">
        <v>381</v>
      </c>
      <c r="F160" s="42">
        <v>258900</v>
      </c>
      <c r="G160" s="42">
        <v>244245.28301886801</v>
      </c>
      <c r="H160" s="19">
        <v>0.15</v>
      </c>
      <c r="I160" s="42">
        <v>36636.792452830203</v>
      </c>
      <c r="J160" s="88"/>
      <c r="K160" s="35" t="s">
        <v>327</v>
      </c>
      <c r="L160" s="35">
        <v>10</v>
      </c>
      <c r="M160" s="177" t="s">
        <v>57</v>
      </c>
      <c r="N160" s="178"/>
      <c r="O160" s="35" t="s">
        <v>105</v>
      </c>
      <c r="P160" s="19" t="s">
        <v>382</v>
      </c>
      <c r="Q160" s="86" t="str">
        <f>K160</f>
        <v>林虹</v>
      </c>
      <c r="R160" s="87">
        <v>1</v>
      </c>
      <c r="S160" s="86">
        <f t="shared" si="3"/>
        <v>244245.28301886801</v>
      </c>
      <c r="T160" s="86">
        <f t="shared" si="4"/>
        <v>36636.792452830203</v>
      </c>
      <c r="U160" s="86"/>
      <c r="V160" s="86"/>
      <c r="W160" s="86"/>
      <c r="X160" s="86"/>
      <c r="Y160" s="86"/>
      <c r="Z160" s="86"/>
      <c r="AA160" s="175"/>
      <c r="AB160" s="86"/>
      <c r="AC160" s="165"/>
    </row>
    <row r="161" spans="1:29" ht="16.5" x14ac:dyDescent="0.35">
      <c r="A161" s="35" t="s">
        <v>306</v>
      </c>
      <c r="B161" s="35" t="s">
        <v>304</v>
      </c>
      <c r="C161" s="74"/>
      <c r="D161" s="35" t="s">
        <v>306</v>
      </c>
      <c r="E161" s="41" t="s">
        <v>383</v>
      </c>
      <c r="F161" s="42">
        <v>94200</v>
      </c>
      <c r="G161" s="42">
        <v>88867.924528301897</v>
      </c>
      <c r="H161" s="19">
        <v>1</v>
      </c>
      <c r="I161" s="42">
        <v>88867.924528301897</v>
      </c>
      <c r="J161" s="88"/>
      <c r="K161" s="35" t="s">
        <v>315</v>
      </c>
      <c r="L161" s="35">
        <v>10</v>
      </c>
      <c r="M161" s="35" t="s">
        <v>57</v>
      </c>
      <c r="N161" s="44"/>
      <c r="O161" s="35" t="s">
        <v>310</v>
      </c>
      <c r="P161" s="19" t="s">
        <v>384</v>
      </c>
      <c r="Q161" s="86" t="str">
        <f>K161</f>
        <v>赵乐</v>
      </c>
      <c r="R161" s="87">
        <v>1</v>
      </c>
      <c r="S161" s="86">
        <f t="shared" si="3"/>
        <v>88867.924528301897</v>
      </c>
      <c r="T161" s="86">
        <f t="shared" si="4"/>
        <v>88867.924528301897</v>
      </c>
      <c r="U161" s="86"/>
      <c r="V161" s="86"/>
      <c r="W161" s="86"/>
      <c r="X161" s="86"/>
      <c r="Y161" s="86"/>
      <c r="Z161" s="86"/>
      <c r="AA161" s="86"/>
      <c r="AB161" s="165"/>
      <c r="AC161" s="165"/>
    </row>
    <row r="162" spans="1:29" ht="16.5" x14ac:dyDescent="0.35">
      <c r="A162" s="35" t="s">
        <v>36</v>
      </c>
      <c r="B162" s="35" t="s">
        <v>304</v>
      </c>
      <c r="C162" s="74"/>
      <c r="D162" s="35" t="s">
        <v>36</v>
      </c>
      <c r="E162" s="41" t="s">
        <v>312</v>
      </c>
      <c r="F162" s="42">
        <v>232000</v>
      </c>
      <c r="G162" s="42">
        <v>218867.92452830201</v>
      </c>
      <c r="H162" s="19">
        <v>1</v>
      </c>
      <c r="I162" s="42">
        <v>218867.92452830201</v>
      </c>
      <c r="J162" s="88"/>
      <c r="K162" s="35" t="s">
        <v>305</v>
      </c>
      <c r="L162" s="35">
        <v>10</v>
      </c>
      <c r="M162" s="35" t="s">
        <v>57</v>
      </c>
      <c r="N162" s="44"/>
      <c r="O162" s="35" t="s">
        <v>40</v>
      </c>
      <c r="P162" s="19" t="s">
        <v>313</v>
      </c>
      <c r="Q162" s="86" t="str">
        <f>K162</f>
        <v>王光鹏</v>
      </c>
      <c r="R162" s="87">
        <v>1</v>
      </c>
      <c r="S162" s="86">
        <f t="shared" si="3"/>
        <v>218867.92452830201</v>
      </c>
      <c r="T162" s="86">
        <f t="shared" si="4"/>
        <v>218867.92452830201</v>
      </c>
      <c r="U162" s="86"/>
      <c r="V162" s="86"/>
      <c r="W162" s="86"/>
      <c r="X162" s="86"/>
      <c r="Y162" s="86"/>
      <c r="Z162" s="86"/>
      <c r="AA162" s="86"/>
      <c r="AB162" s="165"/>
      <c r="AC162" s="165"/>
    </row>
    <row r="163" spans="1:29" ht="16.5" x14ac:dyDescent="0.35">
      <c r="A163" s="35" t="s">
        <v>306</v>
      </c>
      <c r="B163" s="35" t="s">
        <v>304</v>
      </c>
      <c r="C163" s="74"/>
      <c r="D163" s="35" t="s">
        <v>306</v>
      </c>
      <c r="E163" s="41" t="s">
        <v>385</v>
      </c>
      <c r="F163" s="42">
        <v>60000</v>
      </c>
      <c r="G163" s="42">
        <v>56603.773584905699</v>
      </c>
      <c r="H163" s="19">
        <v>0.75490000000000002</v>
      </c>
      <c r="I163" s="42">
        <v>42730.188679245301</v>
      </c>
      <c r="J163" s="88"/>
      <c r="K163" s="35" t="s">
        <v>386</v>
      </c>
      <c r="L163" s="35">
        <v>10</v>
      </c>
      <c r="M163" s="35" t="s">
        <v>57</v>
      </c>
      <c r="N163" s="44"/>
      <c r="O163" s="35" t="s">
        <v>310</v>
      </c>
      <c r="P163" s="19" t="s">
        <v>387</v>
      </c>
      <c r="Q163" s="86" t="s">
        <v>308</v>
      </c>
      <c r="R163" s="87">
        <v>1</v>
      </c>
      <c r="S163" s="86">
        <f t="shared" si="3"/>
        <v>56603.773584905699</v>
      </c>
      <c r="T163" s="86">
        <f t="shared" si="4"/>
        <v>42730.188679245301</v>
      </c>
      <c r="U163" s="86"/>
      <c r="V163" s="86"/>
      <c r="W163" s="86"/>
      <c r="X163" s="86"/>
      <c r="Y163" s="86"/>
      <c r="Z163" s="86"/>
      <c r="AA163" s="86"/>
      <c r="AB163" s="165"/>
      <c r="AC163" s="165"/>
    </row>
    <row r="164" spans="1:29" ht="16.5" x14ac:dyDescent="0.35">
      <c r="A164" s="35" t="s">
        <v>36</v>
      </c>
      <c r="B164" s="35" t="s">
        <v>304</v>
      </c>
      <c r="C164" s="74"/>
      <c r="D164" s="35" t="s">
        <v>36</v>
      </c>
      <c r="E164" s="41" t="s">
        <v>388</v>
      </c>
      <c r="F164" s="42">
        <v>97700</v>
      </c>
      <c r="G164" s="42">
        <v>92169.811320754699</v>
      </c>
      <c r="H164" s="19">
        <v>0.53754152823920298</v>
      </c>
      <c r="I164" s="42">
        <v>49545.101234877497</v>
      </c>
      <c r="J164" s="88"/>
      <c r="K164" s="35" t="s">
        <v>315</v>
      </c>
      <c r="L164" s="35">
        <v>10</v>
      </c>
      <c r="M164" s="35" t="s">
        <v>57</v>
      </c>
      <c r="N164" s="44"/>
      <c r="O164" s="35" t="s">
        <v>40</v>
      </c>
      <c r="P164" s="19">
        <v>0</v>
      </c>
      <c r="Q164" s="86" t="str">
        <f>K164</f>
        <v>赵乐</v>
      </c>
      <c r="R164" s="87">
        <v>1</v>
      </c>
      <c r="S164" s="86">
        <f t="shared" si="3"/>
        <v>92169.811320754699</v>
      </c>
      <c r="T164" s="86">
        <f t="shared" si="4"/>
        <v>49545.101234877497</v>
      </c>
      <c r="U164" s="86"/>
      <c r="V164" s="86"/>
      <c r="W164" s="86"/>
      <c r="X164" s="86"/>
      <c r="Y164" s="86"/>
      <c r="Z164" s="86"/>
      <c r="AA164" s="86"/>
      <c r="AB164" s="165"/>
      <c r="AC164" s="165"/>
    </row>
    <row r="165" spans="1:29" ht="16.5" x14ac:dyDescent="0.35">
      <c r="A165" s="35" t="s">
        <v>36</v>
      </c>
      <c r="B165" s="35" t="s">
        <v>304</v>
      </c>
      <c r="C165" s="74"/>
      <c r="D165" s="35" t="s">
        <v>36</v>
      </c>
      <c r="E165" s="41" t="s">
        <v>389</v>
      </c>
      <c r="F165" s="42">
        <v>38400</v>
      </c>
      <c r="G165" s="42">
        <v>36226.415094339602</v>
      </c>
      <c r="H165" s="19">
        <v>9.9999958333333305E-2</v>
      </c>
      <c r="I165" s="42">
        <v>3622.64</v>
      </c>
      <c r="J165" s="88"/>
      <c r="K165" s="35" t="s">
        <v>318</v>
      </c>
      <c r="L165" s="35">
        <v>10</v>
      </c>
      <c r="M165" s="35" t="s">
        <v>57</v>
      </c>
      <c r="N165" s="44"/>
      <c r="O165" s="35" t="s">
        <v>40</v>
      </c>
      <c r="P165" s="19" t="s">
        <v>390</v>
      </c>
      <c r="Q165" s="86" t="s">
        <v>305</v>
      </c>
      <c r="R165" s="87">
        <v>1</v>
      </c>
      <c r="S165" s="86">
        <f t="shared" si="3"/>
        <v>36226.415094339602</v>
      </c>
      <c r="T165" s="86">
        <f t="shared" si="4"/>
        <v>3622.64</v>
      </c>
      <c r="U165" s="86"/>
      <c r="V165" s="86"/>
      <c r="W165" s="86"/>
      <c r="X165" s="86"/>
      <c r="Y165" s="86"/>
      <c r="Z165" s="86"/>
      <c r="AA165" s="86"/>
      <c r="AB165" s="165"/>
      <c r="AC165" s="165"/>
    </row>
    <row r="166" spans="1:29" ht="16.5" x14ac:dyDescent="0.35">
      <c r="A166" s="62" t="s">
        <v>36</v>
      </c>
      <c r="B166" s="62" t="s">
        <v>304</v>
      </c>
      <c r="C166" s="74"/>
      <c r="D166" s="62" t="s">
        <v>36</v>
      </c>
      <c r="E166" s="63" t="s">
        <v>388</v>
      </c>
      <c r="F166" s="64">
        <v>264800</v>
      </c>
      <c r="G166" s="64">
        <v>249811.32075471699</v>
      </c>
      <c r="H166" s="65">
        <v>0.53754152823920298</v>
      </c>
      <c r="I166" s="64">
        <v>134283.95912994401</v>
      </c>
      <c r="J166" s="89"/>
      <c r="K166" s="62" t="s">
        <v>315</v>
      </c>
      <c r="L166" s="35">
        <v>10</v>
      </c>
      <c r="M166" s="62" t="s">
        <v>57</v>
      </c>
      <c r="N166" s="67"/>
      <c r="O166" s="62" t="s">
        <v>40</v>
      </c>
      <c r="P166" s="65"/>
      <c r="Q166" s="86" t="str">
        <f>K166</f>
        <v>赵乐</v>
      </c>
      <c r="R166" s="87">
        <v>1</v>
      </c>
      <c r="S166" s="86">
        <f t="shared" si="3"/>
        <v>249811.32075471699</v>
      </c>
      <c r="T166" s="86">
        <f t="shared" si="4"/>
        <v>134283.95912994401</v>
      </c>
      <c r="U166" s="86"/>
      <c r="V166" s="86"/>
      <c r="W166" s="86"/>
      <c r="X166" s="86"/>
      <c r="Y166" s="86"/>
      <c r="Z166" s="86"/>
      <c r="AA166" s="86"/>
      <c r="AB166" s="165"/>
      <c r="AC166" s="165"/>
    </row>
    <row r="167" spans="1:29" ht="16.5" x14ac:dyDescent="0.35">
      <c r="A167" s="62" t="s">
        <v>36</v>
      </c>
      <c r="B167" s="62" t="s">
        <v>304</v>
      </c>
      <c r="C167" s="74"/>
      <c r="D167" s="62" t="s">
        <v>36</v>
      </c>
      <c r="E167" s="63" t="s">
        <v>391</v>
      </c>
      <c r="F167" s="64">
        <v>180000</v>
      </c>
      <c r="G167" s="64">
        <v>180000</v>
      </c>
      <c r="H167" s="65">
        <v>0.94583333333333297</v>
      </c>
      <c r="I167" s="64">
        <v>160080</v>
      </c>
      <c r="J167" s="89"/>
      <c r="K167" s="62" t="s">
        <v>392</v>
      </c>
      <c r="L167" s="35">
        <v>10</v>
      </c>
      <c r="M167" s="62" t="s">
        <v>57</v>
      </c>
      <c r="N167" s="67"/>
      <c r="O167" s="62" t="s">
        <v>40</v>
      </c>
      <c r="P167" s="65"/>
      <c r="Q167" s="86" t="s">
        <v>305</v>
      </c>
      <c r="R167" s="87">
        <v>1</v>
      </c>
      <c r="S167" s="86">
        <f t="shared" si="3"/>
        <v>180000</v>
      </c>
      <c r="T167" s="86">
        <f t="shared" si="4"/>
        <v>160080</v>
      </c>
      <c r="U167" s="86"/>
      <c r="V167" s="86"/>
      <c r="W167" s="86"/>
      <c r="X167" s="86"/>
      <c r="Y167" s="86"/>
      <c r="Z167" s="86"/>
      <c r="AA167" s="86"/>
      <c r="AB167" s="165"/>
      <c r="AC167" s="165"/>
    </row>
    <row r="168" spans="1:29" ht="16.5" x14ac:dyDescent="0.35">
      <c r="A168" s="62" t="s">
        <v>36</v>
      </c>
      <c r="B168" s="62" t="s">
        <v>304</v>
      </c>
      <c r="C168" s="74"/>
      <c r="D168" s="62" t="s">
        <v>36</v>
      </c>
      <c r="E168" s="63" t="s">
        <v>393</v>
      </c>
      <c r="F168" s="64">
        <v>28500</v>
      </c>
      <c r="G168" s="64">
        <v>26886.792452830199</v>
      </c>
      <c r="H168" s="65">
        <v>0.88200000000000001</v>
      </c>
      <c r="I168" s="64">
        <v>23714.150943396198</v>
      </c>
      <c r="J168" s="89"/>
      <c r="K168" s="62" t="s">
        <v>359</v>
      </c>
      <c r="L168" s="35">
        <v>10</v>
      </c>
      <c r="M168" s="62" t="s">
        <v>57</v>
      </c>
      <c r="N168" s="67"/>
      <c r="O168" s="62" t="s">
        <v>40</v>
      </c>
      <c r="P168" s="65"/>
      <c r="Q168" s="86" t="s">
        <v>322</v>
      </c>
      <c r="R168" s="87">
        <v>1</v>
      </c>
      <c r="S168" s="86">
        <f t="shared" si="3"/>
        <v>26886.792452830199</v>
      </c>
      <c r="T168" s="86">
        <f t="shared" si="4"/>
        <v>23714.150943396198</v>
      </c>
      <c r="U168" s="86"/>
      <c r="V168" s="86"/>
      <c r="W168" s="86"/>
      <c r="X168" s="86"/>
      <c r="Y168" s="86"/>
      <c r="Z168" s="86"/>
      <c r="AA168" s="86"/>
      <c r="AB168" s="165"/>
      <c r="AC168" s="165"/>
    </row>
    <row r="169" spans="1:29" ht="16.5" x14ac:dyDescent="0.15">
      <c r="A169" s="35" t="s">
        <v>36</v>
      </c>
      <c r="B169" s="35" t="s">
        <v>304</v>
      </c>
      <c r="C169" s="83"/>
      <c r="D169" s="35" t="s">
        <v>36</v>
      </c>
      <c r="E169" s="75" t="s">
        <v>370</v>
      </c>
      <c r="F169" s="77">
        <v>249000</v>
      </c>
      <c r="G169" s="77">
        <v>234905.660377358</v>
      </c>
      <c r="H169" s="84">
        <v>1</v>
      </c>
      <c r="I169" s="77">
        <v>234905.660377358</v>
      </c>
      <c r="J169" s="76"/>
      <c r="K169" s="35" t="s">
        <v>322</v>
      </c>
      <c r="L169" s="83">
        <v>11</v>
      </c>
      <c r="M169" s="83" t="s">
        <v>57</v>
      </c>
      <c r="N169" s="85">
        <v>0</v>
      </c>
      <c r="O169" s="83" t="s">
        <v>40</v>
      </c>
      <c r="P169" s="83"/>
      <c r="Q169" s="86" t="str">
        <f>K169</f>
        <v>席军民</v>
      </c>
      <c r="R169" s="87">
        <v>1</v>
      </c>
      <c r="S169" s="86">
        <f t="shared" si="3"/>
        <v>234905.660377358</v>
      </c>
      <c r="T169" s="86">
        <f t="shared" si="4"/>
        <v>234905.660377358</v>
      </c>
      <c r="U169" s="86"/>
      <c r="V169" s="86"/>
      <c r="W169" s="86"/>
      <c r="X169" s="86"/>
      <c r="Y169" s="86"/>
      <c r="Z169" s="86"/>
      <c r="AA169" s="86"/>
      <c r="AB169" s="165"/>
      <c r="AC169" s="165"/>
    </row>
    <row r="170" spans="1:29" ht="16.5" x14ac:dyDescent="0.15">
      <c r="A170" s="35" t="s">
        <v>36</v>
      </c>
      <c r="B170" s="35" t="s">
        <v>304</v>
      </c>
      <c r="C170" s="83"/>
      <c r="D170" s="35" t="s">
        <v>36</v>
      </c>
      <c r="E170" s="75" t="s">
        <v>394</v>
      </c>
      <c r="F170" s="77">
        <v>1170000</v>
      </c>
      <c r="G170" s="77">
        <v>1103773.58490566</v>
      </c>
      <c r="H170" s="84">
        <v>0.85351452991453003</v>
      </c>
      <c r="I170" s="77">
        <v>942086.79245283001</v>
      </c>
      <c r="J170" s="76"/>
      <c r="K170" s="35" t="s">
        <v>376</v>
      </c>
      <c r="L170" s="83">
        <v>11</v>
      </c>
      <c r="M170" s="83" t="s">
        <v>57</v>
      </c>
      <c r="N170" s="85">
        <v>0</v>
      </c>
      <c r="O170" s="83" t="s">
        <v>40</v>
      </c>
      <c r="P170" s="83"/>
      <c r="Q170" s="86" t="s">
        <v>315</v>
      </c>
      <c r="R170" s="87">
        <v>0.5</v>
      </c>
      <c r="S170" s="86">
        <f t="shared" si="3"/>
        <v>551886.79245283001</v>
      </c>
      <c r="T170" s="86">
        <f t="shared" si="4"/>
        <v>471043.396226415</v>
      </c>
      <c r="U170" s="86" t="s">
        <v>305</v>
      </c>
      <c r="V170" s="87">
        <v>0.5</v>
      </c>
      <c r="W170" s="86">
        <f>G170*V170</f>
        <v>551886.79245283001</v>
      </c>
      <c r="X170" s="86">
        <f>I170*V170</f>
        <v>471043.396226415</v>
      </c>
      <c r="Y170" s="86"/>
      <c r="Z170" s="86"/>
      <c r="AA170" s="86"/>
      <c r="AB170" s="165"/>
      <c r="AC170" s="165"/>
    </row>
    <row r="171" spans="1:29" ht="16.5" x14ac:dyDescent="0.15">
      <c r="A171" s="35" t="s">
        <v>36</v>
      </c>
      <c r="B171" s="35" t="s">
        <v>304</v>
      </c>
      <c r="C171" s="83"/>
      <c r="D171" s="35" t="s">
        <v>36</v>
      </c>
      <c r="E171" s="75" t="s">
        <v>395</v>
      </c>
      <c r="F171" s="77">
        <v>160000</v>
      </c>
      <c r="G171" s="77">
        <v>150943.396226415</v>
      </c>
      <c r="H171" s="84">
        <v>1</v>
      </c>
      <c r="I171" s="77">
        <v>150943.396226415</v>
      </c>
      <c r="J171" s="76"/>
      <c r="K171" s="35" t="s">
        <v>322</v>
      </c>
      <c r="L171" s="83">
        <v>11</v>
      </c>
      <c r="M171" s="83" t="s">
        <v>57</v>
      </c>
      <c r="N171" s="85">
        <v>0</v>
      </c>
      <c r="O171" s="83" t="s">
        <v>40</v>
      </c>
      <c r="P171" s="83"/>
      <c r="Q171" s="86" t="str">
        <f>K171</f>
        <v>席军民</v>
      </c>
      <c r="R171" s="87">
        <v>1</v>
      </c>
      <c r="S171" s="86">
        <f t="shared" si="3"/>
        <v>150943.396226415</v>
      </c>
      <c r="T171" s="86">
        <f t="shared" si="4"/>
        <v>150943.396226415</v>
      </c>
      <c r="U171" s="86"/>
      <c r="V171" s="86"/>
      <c r="W171" s="86"/>
      <c r="X171" s="86"/>
      <c r="Y171" s="86"/>
      <c r="Z171" s="86"/>
      <c r="AA171" s="86"/>
      <c r="AB171" s="165"/>
      <c r="AC171" s="165"/>
    </row>
    <row r="172" spans="1:29" ht="16.5" x14ac:dyDescent="0.15">
      <c r="A172" s="35" t="s">
        <v>36</v>
      </c>
      <c r="B172" s="35" t="s">
        <v>304</v>
      </c>
      <c r="C172" s="83"/>
      <c r="D172" s="35" t="s">
        <v>36</v>
      </c>
      <c r="E172" s="75" t="s">
        <v>396</v>
      </c>
      <c r="F172" s="77">
        <v>79000</v>
      </c>
      <c r="G172" s="77">
        <v>74528.301886792498</v>
      </c>
      <c r="H172" s="84">
        <v>0.75455696202531597</v>
      </c>
      <c r="I172" s="77">
        <v>56235.849056603802</v>
      </c>
      <c r="J172" s="76"/>
      <c r="K172" s="35" t="s">
        <v>368</v>
      </c>
      <c r="L172" s="83">
        <v>11</v>
      </c>
      <c r="M172" s="83" t="s">
        <v>57</v>
      </c>
      <c r="N172" s="85">
        <v>0</v>
      </c>
      <c r="O172" s="83" t="s">
        <v>40</v>
      </c>
      <c r="P172" s="83"/>
      <c r="Q172" s="86" t="s">
        <v>305</v>
      </c>
      <c r="R172" s="87">
        <v>1</v>
      </c>
      <c r="S172" s="86">
        <f t="shared" si="3"/>
        <v>74528.301886792498</v>
      </c>
      <c r="T172" s="86">
        <f t="shared" si="4"/>
        <v>56235.849056603802</v>
      </c>
      <c r="U172" s="86"/>
      <c r="V172" s="86"/>
      <c r="W172" s="86"/>
      <c r="X172" s="86"/>
      <c r="Y172" s="86"/>
      <c r="Z172" s="86"/>
      <c r="AA172" s="86"/>
      <c r="AB172" s="165"/>
      <c r="AC172" s="165"/>
    </row>
    <row r="173" spans="1:29" ht="16.5" x14ac:dyDescent="0.15">
      <c r="A173" s="35" t="s">
        <v>306</v>
      </c>
      <c r="B173" s="35" t="s">
        <v>304</v>
      </c>
      <c r="C173" s="83"/>
      <c r="D173" s="35" t="s">
        <v>306</v>
      </c>
      <c r="E173" s="75" t="s">
        <v>397</v>
      </c>
      <c r="F173" s="77">
        <v>151000</v>
      </c>
      <c r="G173" s="77">
        <v>142452.83018867901</v>
      </c>
      <c r="H173" s="84">
        <v>0.63515761589403996</v>
      </c>
      <c r="I173" s="77">
        <v>90480</v>
      </c>
      <c r="J173" s="76"/>
      <c r="K173" s="35" t="s">
        <v>327</v>
      </c>
      <c r="L173" s="83">
        <v>11</v>
      </c>
      <c r="M173" s="83" t="s">
        <v>57</v>
      </c>
      <c r="N173" s="85">
        <v>0</v>
      </c>
      <c r="O173" s="83" t="s">
        <v>310</v>
      </c>
      <c r="P173" s="83"/>
      <c r="Q173" s="86" t="str">
        <f>K173</f>
        <v>林虹</v>
      </c>
      <c r="R173" s="87">
        <v>1</v>
      </c>
      <c r="S173" s="86">
        <f t="shared" si="3"/>
        <v>142452.83018867901</v>
      </c>
      <c r="T173" s="86">
        <f t="shared" si="4"/>
        <v>90480</v>
      </c>
      <c r="U173" s="86"/>
      <c r="V173" s="86"/>
      <c r="W173" s="86"/>
      <c r="X173" s="86"/>
      <c r="Y173" s="86"/>
      <c r="Z173" s="86"/>
      <c r="AA173" s="86"/>
      <c r="AB173" s="165"/>
      <c r="AC173" s="165"/>
    </row>
    <row r="174" spans="1:29" ht="16.5" x14ac:dyDescent="0.15">
      <c r="A174" s="35" t="s">
        <v>36</v>
      </c>
      <c r="B174" s="35" t="s">
        <v>304</v>
      </c>
      <c r="C174" s="83"/>
      <c r="D174" s="35" t="s">
        <v>36</v>
      </c>
      <c r="E174" s="75" t="s">
        <v>343</v>
      </c>
      <c r="F174" s="77">
        <v>249000</v>
      </c>
      <c r="G174" s="77">
        <v>234905.660377358</v>
      </c>
      <c r="H174" s="84">
        <v>1</v>
      </c>
      <c r="I174" s="77">
        <v>234905.660377358</v>
      </c>
      <c r="J174" s="76"/>
      <c r="K174" s="35" t="s">
        <v>322</v>
      </c>
      <c r="L174" s="83">
        <v>11</v>
      </c>
      <c r="M174" s="83" t="s">
        <v>57</v>
      </c>
      <c r="N174" s="85">
        <v>0</v>
      </c>
      <c r="O174" s="83" t="s">
        <v>40</v>
      </c>
      <c r="P174" s="83"/>
      <c r="Q174" s="86" t="str">
        <f>K174</f>
        <v>席军民</v>
      </c>
      <c r="R174" s="87">
        <v>1</v>
      </c>
      <c r="S174" s="86">
        <f t="shared" si="3"/>
        <v>234905.660377358</v>
      </c>
      <c r="T174" s="86">
        <f t="shared" si="4"/>
        <v>234905.660377358</v>
      </c>
      <c r="U174" s="86"/>
      <c r="V174" s="86"/>
      <c r="W174" s="86"/>
      <c r="X174" s="86"/>
      <c r="Y174" s="86"/>
      <c r="Z174" s="86"/>
      <c r="AA174" s="86"/>
      <c r="AB174" s="165"/>
      <c r="AC174" s="165"/>
    </row>
    <row r="175" spans="1:29" ht="16.5" x14ac:dyDescent="0.15">
      <c r="A175" s="35" t="s">
        <v>36</v>
      </c>
      <c r="B175" s="35" t="s">
        <v>304</v>
      </c>
      <c r="C175" s="90"/>
      <c r="D175" s="49" t="s">
        <v>36</v>
      </c>
      <c r="E175" s="75" t="s">
        <v>398</v>
      </c>
      <c r="F175" s="77">
        <v>130000</v>
      </c>
      <c r="G175" s="77">
        <v>122641.509433962</v>
      </c>
      <c r="H175" s="84">
        <v>0.1</v>
      </c>
      <c r="I175" s="77">
        <v>12264.1509433962</v>
      </c>
      <c r="J175" s="91"/>
      <c r="K175" s="35" t="s">
        <v>322</v>
      </c>
      <c r="L175" s="83">
        <v>11</v>
      </c>
      <c r="M175" s="83" t="s">
        <v>57</v>
      </c>
      <c r="N175" s="85">
        <v>0</v>
      </c>
      <c r="O175" s="83" t="s">
        <v>40</v>
      </c>
      <c r="P175" s="90"/>
      <c r="Q175" s="86" t="str">
        <f>K175</f>
        <v>席军民</v>
      </c>
      <c r="R175" s="87">
        <v>1</v>
      </c>
      <c r="S175" s="86">
        <f t="shared" si="3"/>
        <v>122641.509433962</v>
      </c>
      <c r="T175" s="86">
        <f t="shared" si="4"/>
        <v>12264.1509433962</v>
      </c>
      <c r="U175" s="86"/>
      <c r="V175" s="86"/>
      <c r="W175" s="86"/>
      <c r="X175" s="86"/>
      <c r="Y175" s="86"/>
      <c r="Z175" s="86"/>
      <c r="AA175" s="86"/>
      <c r="AB175" s="165"/>
      <c r="AC175" s="165"/>
    </row>
    <row r="176" spans="1:29" ht="16.5" x14ac:dyDescent="0.15">
      <c r="A176" s="35" t="s">
        <v>36</v>
      </c>
      <c r="B176" s="35" t="s">
        <v>304</v>
      </c>
      <c r="C176" s="90"/>
      <c r="D176" s="49" t="s">
        <v>36</v>
      </c>
      <c r="E176" s="75" t="s">
        <v>399</v>
      </c>
      <c r="F176" s="77">
        <v>219000</v>
      </c>
      <c r="G176" s="77">
        <v>206603.77358490601</v>
      </c>
      <c r="H176" s="84">
        <v>1</v>
      </c>
      <c r="I176" s="77">
        <v>206603.77358490601</v>
      </c>
      <c r="J176" s="91"/>
      <c r="K176" s="35" t="s">
        <v>315</v>
      </c>
      <c r="L176" s="83">
        <v>11</v>
      </c>
      <c r="M176" s="83" t="s">
        <v>57</v>
      </c>
      <c r="N176" s="85">
        <v>0</v>
      </c>
      <c r="O176" s="83" t="s">
        <v>40</v>
      </c>
      <c r="P176" s="90"/>
      <c r="Q176" s="86" t="str">
        <f>K176</f>
        <v>赵乐</v>
      </c>
      <c r="R176" s="87">
        <v>1</v>
      </c>
      <c r="S176" s="86">
        <f t="shared" si="3"/>
        <v>206603.77358490601</v>
      </c>
      <c r="T176" s="86">
        <f t="shared" si="4"/>
        <v>206603.77358490601</v>
      </c>
      <c r="U176" s="86"/>
      <c r="V176" s="86"/>
      <c r="W176" s="86"/>
      <c r="X176" s="86"/>
      <c r="Y176" s="86"/>
      <c r="Z176" s="86"/>
      <c r="AA176" s="86"/>
      <c r="AB176" s="165"/>
      <c r="AC176" s="165"/>
    </row>
    <row r="177" spans="1:29" ht="16.5" x14ac:dyDescent="0.15">
      <c r="A177" s="35" t="s">
        <v>36</v>
      </c>
      <c r="B177" s="35" t="s">
        <v>304</v>
      </c>
      <c r="C177" s="90"/>
      <c r="D177" s="49" t="s">
        <v>36</v>
      </c>
      <c r="E177" s="75" t="s">
        <v>341</v>
      </c>
      <c r="F177" s="77">
        <v>168000</v>
      </c>
      <c r="G177" s="77">
        <v>158490.56603773599</v>
      </c>
      <c r="H177" s="84">
        <v>0.89580000000000004</v>
      </c>
      <c r="I177" s="77">
        <v>141975.849056604</v>
      </c>
      <c r="J177" s="91"/>
      <c r="K177" s="35" t="s">
        <v>322</v>
      </c>
      <c r="L177" s="83">
        <v>11</v>
      </c>
      <c r="M177" s="83" t="s">
        <v>57</v>
      </c>
      <c r="N177" s="85">
        <v>0</v>
      </c>
      <c r="O177" s="83" t="s">
        <v>40</v>
      </c>
      <c r="P177" s="90"/>
      <c r="Q177" s="86" t="str">
        <f>K177</f>
        <v>席军民</v>
      </c>
      <c r="R177" s="87">
        <v>1</v>
      </c>
      <c r="S177" s="86">
        <f t="shared" si="3"/>
        <v>158490.56603773599</v>
      </c>
      <c r="T177" s="86">
        <f t="shared" si="4"/>
        <v>141975.849056604</v>
      </c>
      <c r="U177" s="86"/>
      <c r="V177" s="86"/>
      <c r="W177" s="86"/>
      <c r="X177" s="86"/>
      <c r="Y177" s="86"/>
      <c r="Z177" s="86"/>
      <c r="AA177" s="86"/>
      <c r="AB177" s="165"/>
      <c r="AC177" s="165"/>
    </row>
    <row r="178" spans="1:29" ht="16.5" x14ac:dyDescent="0.15">
      <c r="A178" s="35" t="s">
        <v>36</v>
      </c>
      <c r="B178" s="35" t="s">
        <v>304</v>
      </c>
      <c r="C178" s="90"/>
      <c r="D178" s="49" t="s">
        <v>36</v>
      </c>
      <c r="E178" s="75" t="s">
        <v>400</v>
      </c>
      <c r="F178" s="77">
        <v>649500</v>
      </c>
      <c r="G178" s="77">
        <v>612735.84905660397</v>
      </c>
      <c r="H178" s="84">
        <v>0.69207852193995401</v>
      </c>
      <c r="I178" s="77">
        <v>424061.32075471699</v>
      </c>
      <c r="J178" s="91"/>
      <c r="K178" s="35" t="s">
        <v>386</v>
      </c>
      <c r="L178" s="83">
        <v>11</v>
      </c>
      <c r="M178" s="83" t="s">
        <v>57</v>
      </c>
      <c r="N178" s="85">
        <v>0</v>
      </c>
      <c r="O178" s="83" t="s">
        <v>40</v>
      </c>
      <c r="P178" s="90"/>
      <c r="Q178" s="86" t="s">
        <v>315</v>
      </c>
      <c r="R178" s="87">
        <v>1</v>
      </c>
      <c r="S178" s="86">
        <f t="shared" si="3"/>
        <v>612735.84905660397</v>
      </c>
      <c r="T178" s="86">
        <f t="shared" si="4"/>
        <v>424061.32075471699</v>
      </c>
      <c r="U178" s="86"/>
      <c r="V178" s="86"/>
      <c r="W178" s="86"/>
      <c r="X178" s="86"/>
      <c r="Y178" s="86"/>
      <c r="Z178" s="86"/>
      <c r="AA178" s="86"/>
      <c r="AB178" s="165"/>
      <c r="AC178" s="165"/>
    </row>
    <row r="179" spans="1:29" ht="16.5" x14ac:dyDescent="0.15">
      <c r="A179" s="92" t="s">
        <v>36</v>
      </c>
      <c r="B179" s="92" t="s">
        <v>304</v>
      </c>
      <c r="C179" s="93"/>
      <c r="D179" s="94" t="s">
        <v>36</v>
      </c>
      <c r="E179" s="95" t="s">
        <v>349</v>
      </c>
      <c r="F179" s="96">
        <v>249000</v>
      </c>
      <c r="G179" s="96">
        <v>234905.660377358</v>
      </c>
      <c r="H179" s="97">
        <v>1</v>
      </c>
      <c r="I179" s="96">
        <v>234905.660377358</v>
      </c>
      <c r="J179" s="98"/>
      <c r="K179" s="92" t="s">
        <v>322</v>
      </c>
      <c r="L179" s="83">
        <v>11</v>
      </c>
      <c r="M179" s="99" t="s">
        <v>57</v>
      </c>
      <c r="N179" s="100">
        <v>0</v>
      </c>
      <c r="O179" s="83" t="s">
        <v>40</v>
      </c>
      <c r="P179" s="93"/>
      <c r="Q179" s="86" t="str">
        <f>K179</f>
        <v>席军民</v>
      </c>
      <c r="R179" s="87">
        <v>1</v>
      </c>
      <c r="S179" s="86">
        <f t="shared" si="3"/>
        <v>234905.660377358</v>
      </c>
      <c r="T179" s="86">
        <f t="shared" si="4"/>
        <v>234905.660377358</v>
      </c>
      <c r="U179" s="86"/>
      <c r="V179" s="86"/>
      <c r="W179" s="86"/>
      <c r="X179" s="86"/>
      <c r="Y179" s="86"/>
      <c r="Z179" s="86"/>
      <c r="AA179" s="86"/>
      <c r="AB179" s="165"/>
      <c r="AC179" s="165"/>
    </row>
    <row r="180" spans="1:29" ht="16.5" x14ac:dyDescent="0.15">
      <c r="A180" s="35" t="s">
        <v>36</v>
      </c>
      <c r="B180" s="35" t="s">
        <v>304</v>
      </c>
      <c r="C180" s="90"/>
      <c r="D180" s="49" t="s">
        <v>36</v>
      </c>
      <c r="E180" s="75" t="s">
        <v>347</v>
      </c>
      <c r="F180" s="77">
        <v>475000</v>
      </c>
      <c r="G180" s="77">
        <v>448113.20754716999</v>
      </c>
      <c r="H180" s="84">
        <v>1</v>
      </c>
      <c r="I180" s="77">
        <v>448113.20754716999</v>
      </c>
      <c r="J180" s="91"/>
      <c r="K180" s="35" t="s">
        <v>318</v>
      </c>
      <c r="L180" s="83">
        <v>11</v>
      </c>
      <c r="M180" s="83" t="s">
        <v>57</v>
      </c>
      <c r="N180" s="85">
        <v>0</v>
      </c>
      <c r="O180" s="83" t="s">
        <v>40</v>
      </c>
      <c r="P180" s="90"/>
      <c r="Q180" s="165" t="s">
        <v>322</v>
      </c>
      <c r="R180" s="170">
        <v>1</v>
      </c>
      <c r="S180" s="165">
        <f t="shared" si="3"/>
        <v>448113.20754716999</v>
      </c>
      <c r="T180" s="165">
        <f t="shared" si="4"/>
        <v>448113.20754716999</v>
      </c>
      <c r="U180" s="165"/>
      <c r="V180" s="165"/>
      <c r="W180" s="165"/>
      <c r="X180" s="165"/>
      <c r="Y180" s="165"/>
      <c r="Z180" s="165"/>
      <c r="AA180" s="165"/>
      <c r="AB180" s="165"/>
      <c r="AC180" s="165"/>
    </row>
    <row r="181" spans="1:29" ht="16.5" x14ac:dyDescent="0.15">
      <c r="A181" s="35" t="s">
        <v>36</v>
      </c>
      <c r="B181" s="35" t="s">
        <v>304</v>
      </c>
      <c r="C181" s="90"/>
      <c r="D181" s="49" t="s">
        <v>36</v>
      </c>
      <c r="E181" s="75" t="s">
        <v>351</v>
      </c>
      <c r="F181" s="77">
        <v>-352000</v>
      </c>
      <c r="G181" s="77">
        <v>-332075.47169811302</v>
      </c>
      <c r="H181" s="84">
        <v>0.94889999999999997</v>
      </c>
      <c r="I181" s="77">
        <v>-315106.41509433999</v>
      </c>
      <c r="J181" s="91"/>
      <c r="K181" s="35" t="s">
        <v>315</v>
      </c>
      <c r="L181" s="83">
        <v>11</v>
      </c>
      <c r="M181" s="83" t="s">
        <v>57</v>
      </c>
      <c r="N181" s="85">
        <v>0</v>
      </c>
      <c r="O181" s="83" t="s">
        <v>40</v>
      </c>
      <c r="P181" s="90"/>
      <c r="Q181" s="86" t="str">
        <f>K181</f>
        <v>赵乐</v>
      </c>
      <c r="R181" s="87">
        <v>1</v>
      </c>
      <c r="S181" s="86">
        <f t="shared" si="3"/>
        <v>-332075.47169811302</v>
      </c>
      <c r="T181" s="86">
        <f t="shared" si="4"/>
        <v>-315106.41509433999</v>
      </c>
      <c r="U181" s="86"/>
      <c r="V181" s="86"/>
      <c r="W181" s="86"/>
      <c r="X181" s="86"/>
      <c r="Y181" s="86"/>
      <c r="Z181" s="86"/>
      <c r="AA181" s="86"/>
      <c r="AB181" s="86"/>
      <c r="AC181" s="86"/>
    </row>
    <row r="182" spans="1:29" ht="16.5" x14ac:dyDescent="0.15">
      <c r="A182" s="35" t="s">
        <v>36</v>
      </c>
      <c r="B182" s="35" t="s">
        <v>304</v>
      </c>
      <c r="C182" s="90"/>
      <c r="D182" s="49" t="s">
        <v>36</v>
      </c>
      <c r="E182" s="75" t="s">
        <v>351</v>
      </c>
      <c r="F182" s="77">
        <v>352000</v>
      </c>
      <c r="G182" s="77">
        <v>332075.47169811302</v>
      </c>
      <c r="H182" s="84">
        <v>0.93689999999999996</v>
      </c>
      <c r="I182" s="77">
        <v>311121.509433962</v>
      </c>
      <c r="J182" s="91"/>
      <c r="K182" s="35" t="s">
        <v>315</v>
      </c>
      <c r="L182" s="83">
        <v>11</v>
      </c>
      <c r="M182" s="83" t="s">
        <v>57</v>
      </c>
      <c r="N182" s="85">
        <v>0</v>
      </c>
      <c r="O182" s="83" t="s">
        <v>40</v>
      </c>
      <c r="P182" s="90"/>
      <c r="Q182" s="86" t="str">
        <f>K182</f>
        <v>赵乐</v>
      </c>
      <c r="R182" s="87">
        <v>1</v>
      </c>
      <c r="S182" s="86">
        <f t="shared" si="3"/>
        <v>332075.47169811302</v>
      </c>
      <c r="T182" s="86">
        <f t="shared" si="4"/>
        <v>311121.509433962</v>
      </c>
      <c r="U182" s="86"/>
      <c r="V182" s="86"/>
      <c r="W182" s="86"/>
      <c r="X182" s="86"/>
      <c r="Y182" s="86"/>
      <c r="Z182" s="86"/>
      <c r="AA182" s="86"/>
      <c r="AB182" s="86"/>
      <c r="AC182" s="86"/>
    </row>
    <row r="183" spans="1:29" ht="16.5" x14ac:dyDescent="0.15">
      <c r="A183" s="35" t="s">
        <v>36</v>
      </c>
      <c r="B183" s="35" t="s">
        <v>304</v>
      </c>
      <c r="C183" s="90"/>
      <c r="D183" s="49" t="s">
        <v>36</v>
      </c>
      <c r="E183" s="75" t="s">
        <v>349</v>
      </c>
      <c r="F183" s="77">
        <v>249000</v>
      </c>
      <c r="G183" s="77">
        <v>234905.660377358</v>
      </c>
      <c r="H183" s="84">
        <v>1</v>
      </c>
      <c r="I183" s="77">
        <v>234905.660377358</v>
      </c>
      <c r="J183" s="91"/>
      <c r="K183" s="35" t="s">
        <v>322</v>
      </c>
      <c r="L183" s="83">
        <v>11</v>
      </c>
      <c r="M183" s="83" t="s">
        <v>57</v>
      </c>
      <c r="N183" s="85">
        <v>0</v>
      </c>
      <c r="O183" s="83" t="s">
        <v>40</v>
      </c>
      <c r="P183" s="90"/>
      <c r="Q183" s="86" t="str">
        <f>K183</f>
        <v>席军民</v>
      </c>
      <c r="R183" s="87">
        <v>1</v>
      </c>
      <c r="S183" s="86">
        <f t="shared" si="3"/>
        <v>234905.660377358</v>
      </c>
      <c r="T183" s="86">
        <f t="shared" si="4"/>
        <v>234905.660377358</v>
      </c>
      <c r="U183" s="86"/>
      <c r="V183" s="86"/>
      <c r="W183" s="86"/>
      <c r="X183" s="86"/>
      <c r="Y183" s="86"/>
      <c r="Z183" s="86"/>
      <c r="AA183" s="86"/>
      <c r="AB183" s="86"/>
      <c r="AC183" s="86"/>
    </row>
    <row r="184" spans="1:29" ht="16.5" x14ac:dyDescent="0.15">
      <c r="A184" s="35" t="s">
        <v>36</v>
      </c>
      <c r="B184" s="35" t="s">
        <v>304</v>
      </c>
      <c r="C184" s="90"/>
      <c r="D184" s="49" t="s">
        <v>36</v>
      </c>
      <c r="E184" s="75" t="s">
        <v>341</v>
      </c>
      <c r="F184" s="77">
        <v>168000</v>
      </c>
      <c r="G184" s="77">
        <v>158490.56603773599</v>
      </c>
      <c r="H184" s="84">
        <v>0.89580000000000004</v>
      </c>
      <c r="I184" s="77">
        <v>141975.849056604</v>
      </c>
      <c r="J184" s="91"/>
      <c r="K184" s="35" t="s">
        <v>322</v>
      </c>
      <c r="L184" s="83">
        <v>11</v>
      </c>
      <c r="M184" s="83" t="s">
        <v>57</v>
      </c>
      <c r="N184" s="85">
        <v>0</v>
      </c>
      <c r="O184" s="83" t="s">
        <v>40</v>
      </c>
      <c r="P184" s="90"/>
      <c r="Q184" s="86" t="str">
        <f>K184</f>
        <v>席军民</v>
      </c>
      <c r="R184" s="87">
        <v>1</v>
      </c>
      <c r="S184" s="86">
        <f t="shared" si="3"/>
        <v>158490.56603773599</v>
      </c>
      <c r="T184" s="86">
        <f t="shared" si="4"/>
        <v>141975.849056604</v>
      </c>
      <c r="U184" s="86"/>
      <c r="V184" s="86"/>
      <c r="W184" s="86"/>
      <c r="X184" s="86"/>
      <c r="Y184" s="86"/>
      <c r="Z184" s="86"/>
      <c r="AA184" s="86"/>
      <c r="AB184" s="86"/>
      <c r="AC184" s="86"/>
    </row>
    <row r="185" spans="1:29" ht="16.5" x14ac:dyDescent="0.15">
      <c r="A185" s="35" t="s">
        <v>36</v>
      </c>
      <c r="B185" s="35" t="s">
        <v>304</v>
      </c>
      <c r="C185" s="90"/>
      <c r="D185" s="49" t="s">
        <v>36</v>
      </c>
      <c r="E185" s="75" t="s">
        <v>401</v>
      </c>
      <c r="F185" s="77">
        <v>17500</v>
      </c>
      <c r="G185" s="77">
        <v>16509.433962264098</v>
      </c>
      <c r="H185" s="84">
        <v>0.32820512820512798</v>
      </c>
      <c r="I185" s="77">
        <v>5418.4808901790002</v>
      </c>
      <c r="J185" s="91"/>
      <c r="K185" s="35" t="s">
        <v>392</v>
      </c>
      <c r="L185" s="83">
        <v>11</v>
      </c>
      <c r="M185" s="83" t="s">
        <v>57</v>
      </c>
      <c r="N185" s="85">
        <v>0</v>
      </c>
      <c r="O185" s="83" t="s">
        <v>40</v>
      </c>
      <c r="P185" s="90"/>
      <c r="Q185" s="86" t="s">
        <v>305</v>
      </c>
      <c r="R185" s="87">
        <v>1</v>
      </c>
      <c r="S185" s="86">
        <f t="shared" si="3"/>
        <v>16509.433962264098</v>
      </c>
      <c r="T185" s="86">
        <f t="shared" si="4"/>
        <v>5418.4808901790002</v>
      </c>
      <c r="U185" s="86"/>
      <c r="V185" s="86"/>
      <c r="W185" s="86"/>
      <c r="X185" s="86"/>
      <c r="Y185" s="86"/>
      <c r="Z185" s="86"/>
      <c r="AA185" s="86"/>
      <c r="AB185" s="86"/>
      <c r="AC185" s="86"/>
    </row>
    <row r="186" spans="1:29" ht="16.5" x14ac:dyDescent="0.15">
      <c r="A186" s="35" t="s">
        <v>36</v>
      </c>
      <c r="B186" s="35" t="s">
        <v>304</v>
      </c>
      <c r="C186" s="90"/>
      <c r="D186" s="49" t="s">
        <v>36</v>
      </c>
      <c r="E186" s="75" t="s">
        <v>401</v>
      </c>
      <c r="F186" s="77">
        <v>80000</v>
      </c>
      <c r="G186" s="77">
        <v>75471.698113207502</v>
      </c>
      <c r="H186" s="84">
        <v>0.32820512820512798</v>
      </c>
      <c r="I186" s="77">
        <v>24770.198355103999</v>
      </c>
      <c r="J186" s="91"/>
      <c r="K186" s="35" t="s">
        <v>392</v>
      </c>
      <c r="L186" s="83">
        <v>11</v>
      </c>
      <c r="M186" s="83" t="s">
        <v>57</v>
      </c>
      <c r="N186" s="85">
        <v>0</v>
      </c>
      <c r="O186" s="83" t="s">
        <v>40</v>
      </c>
      <c r="P186" s="90"/>
      <c r="Q186" s="86" t="s">
        <v>305</v>
      </c>
      <c r="R186" s="87">
        <v>1</v>
      </c>
      <c r="S186" s="86">
        <f t="shared" si="3"/>
        <v>75471.698113207502</v>
      </c>
      <c r="T186" s="86">
        <f t="shared" si="4"/>
        <v>24770.198355103999</v>
      </c>
      <c r="U186" s="86"/>
      <c r="V186" s="86"/>
      <c r="W186" s="86"/>
      <c r="X186" s="86"/>
      <c r="Y186" s="86"/>
      <c r="Z186" s="86"/>
      <c r="AA186" s="86"/>
      <c r="AB186" s="86"/>
      <c r="AC186" s="86"/>
    </row>
    <row r="187" spans="1:29" ht="16.5" x14ac:dyDescent="0.15">
      <c r="A187" s="35" t="s">
        <v>7</v>
      </c>
      <c r="B187" s="35" t="s">
        <v>304</v>
      </c>
      <c r="C187" s="90"/>
      <c r="D187" s="49" t="s">
        <v>7</v>
      </c>
      <c r="E187" s="75" t="s">
        <v>355</v>
      </c>
      <c r="F187" s="77">
        <v>29475</v>
      </c>
      <c r="G187" s="77">
        <v>27806.603773584899</v>
      </c>
      <c r="H187" s="84">
        <v>1</v>
      </c>
      <c r="I187" s="77">
        <v>27806.603773584899</v>
      </c>
      <c r="J187" s="91"/>
      <c r="K187" s="35" t="s">
        <v>311</v>
      </c>
      <c r="L187" s="83">
        <v>11</v>
      </c>
      <c r="M187" s="83" t="s">
        <v>57</v>
      </c>
      <c r="N187" s="85">
        <v>0</v>
      </c>
      <c r="O187" s="83" t="s">
        <v>29</v>
      </c>
      <c r="P187" s="90"/>
      <c r="Q187" s="86" t="str">
        <f>K187</f>
        <v>龙云飞</v>
      </c>
      <c r="R187" s="87">
        <v>1</v>
      </c>
      <c r="S187" s="86">
        <f t="shared" si="3"/>
        <v>27806.603773584899</v>
      </c>
      <c r="T187" s="86">
        <f t="shared" si="4"/>
        <v>27806.603773584899</v>
      </c>
      <c r="U187" s="86"/>
      <c r="V187" s="86"/>
      <c r="W187" s="86"/>
      <c r="X187" s="86"/>
      <c r="Y187" s="86"/>
      <c r="Z187" s="86"/>
      <c r="AA187" s="86"/>
      <c r="AB187" s="86"/>
      <c r="AC187" s="86"/>
    </row>
    <row r="188" spans="1:29" ht="16.5" x14ac:dyDescent="0.15">
      <c r="A188" s="35" t="s">
        <v>7</v>
      </c>
      <c r="B188" s="35" t="s">
        <v>405</v>
      </c>
      <c r="C188" s="36"/>
      <c r="D188" s="35" t="s">
        <v>7</v>
      </c>
      <c r="E188" s="14" t="s">
        <v>406</v>
      </c>
      <c r="F188" s="16">
        <v>155000</v>
      </c>
      <c r="G188" s="16">
        <v>146226.41509433961</v>
      </c>
      <c r="H188" s="37">
        <v>0.3</v>
      </c>
      <c r="I188" s="16">
        <v>43867.924528301883</v>
      </c>
      <c r="J188" s="15"/>
      <c r="K188" s="35" t="s">
        <v>402</v>
      </c>
      <c r="L188" s="36">
        <v>12</v>
      </c>
      <c r="M188" s="36" t="s">
        <v>67</v>
      </c>
      <c r="N188" s="38" t="s">
        <v>155</v>
      </c>
      <c r="O188" s="36" t="s">
        <v>29</v>
      </c>
      <c r="P188" s="36"/>
      <c r="Q188" s="39" t="s">
        <v>402</v>
      </c>
      <c r="R188" s="40">
        <v>1</v>
      </c>
      <c r="S188" s="39">
        <f t="shared" si="3"/>
        <v>146226.41509433961</v>
      </c>
      <c r="T188" s="39">
        <f t="shared" si="4"/>
        <v>43867.924528301883</v>
      </c>
      <c r="U188" s="39">
        <v>0</v>
      </c>
      <c r="V188" s="40">
        <v>0</v>
      </c>
      <c r="W188" s="39">
        <f t="shared" ref="W188:W198" si="5">G188*V188</f>
        <v>0</v>
      </c>
      <c r="X188" s="39">
        <f t="shared" ref="X188:X198" si="6">I188*V188</f>
        <v>0</v>
      </c>
      <c r="Y188" s="39">
        <v>0</v>
      </c>
      <c r="Z188" s="39">
        <v>0</v>
      </c>
      <c r="AA188" s="39">
        <v>0</v>
      </c>
      <c r="AB188" s="39">
        <v>0</v>
      </c>
      <c r="AC188" s="39" t="s">
        <v>32</v>
      </c>
    </row>
    <row r="189" spans="1:29" ht="16.5" x14ac:dyDescent="0.15">
      <c r="A189" s="35" t="s">
        <v>7</v>
      </c>
      <c r="B189" s="35" t="s">
        <v>405</v>
      </c>
      <c r="C189" s="36"/>
      <c r="D189" s="35" t="s">
        <v>7</v>
      </c>
      <c r="E189" s="14" t="s">
        <v>423</v>
      </c>
      <c r="F189" s="16">
        <v>2417500</v>
      </c>
      <c r="G189" s="16">
        <v>2280660.3773584906</v>
      </c>
      <c r="H189" s="37">
        <v>0.21309999999999998</v>
      </c>
      <c r="I189" s="16">
        <v>486008.72641509434</v>
      </c>
      <c r="J189" s="15"/>
      <c r="K189" s="35" t="s">
        <v>402</v>
      </c>
      <c r="L189" s="36">
        <v>12</v>
      </c>
      <c r="M189" s="36" t="s">
        <v>57</v>
      </c>
      <c r="N189" s="38">
        <v>0</v>
      </c>
      <c r="O189" s="36" t="s">
        <v>29</v>
      </c>
      <c r="P189" s="36"/>
      <c r="Q189" s="39" t="s">
        <v>402</v>
      </c>
      <c r="R189" s="40">
        <v>1</v>
      </c>
      <c r="S189" s="39">
        <f t="shared" si="3"/>
        <v>2280660.3773584906</v>
      </c>
      <c r="T189" s="39">
        <f t="shared" si="4"/>
        <v>486008.72641509434</v>
      </c>
      <c r="U189" s="39">
        <v>0</v>
      </c>
      <c r="V189" s="40">
        <v>0</v>
      </c>
      <c r="W189" s="39">
        <f t="shared" si="5"/>
        <v>0</v>
      </c>
      <c r="X189" s="39">
        <f t="shared" si="6"/>
        <v>0</v>
      </c>
      <c r="Y189" s="39">
        <v>0</v>
      </c>
      <c r="Z189" s="39">
        <v>0</v>
      </c>
      <c r="AA189" s="39">
        <v>0</v>
      </c>
      <c r="AB189" s="39">
        <v>0</v>
      </c>
      <c r="AC189" s="39">
        <v>0</v>
      </c>
    </row>
    <row r="190" spans="1:29" ht="16.5" x14ac:dyDescent="0.15">
      <c r="A190" s="35" t="s">
        <v>36</v>
      </c>
      <c r="B190" s="35" t="s">
        <v>405</v>
      </c>
      <c r="C190" s="36"/>
      <c r="D190" s="35" t="s">
        <v>36</v>
      </c>
      <c r="E190" s="14" t="s">
        <v>424</v>
      </c>
      <c r="F190" s="16">
        <v>726000</v>
      </c>
      <c r="G190" s="16">
        <v>684905.66037735844</v>
      </c>
      <c r="H190" s="37">
        <v>-1.2125757575757574E-2</v>
      </c>
      <c r="I190" s="16">
        <v>-8304.9999999999982</v>
      </c>
      <c r="J190" s="15"/>
      <c r="K190" s="35" t="s">
        <v>425</v>
      </c>
      <c r="L190" s="36">
        <v>12</v>
      </c>
      <c r="M190" s="36" t="s">
        <v>57</v>
      </c>
      <c r="N190" s="38">
        <v>0</v>
      </c>
      <c r="O190" s="36" t="s">
        <v>40</v>
      </c>
      <c r="P190" s="36"/>
      <c r="Q190" s="39" t="s">
        <v>426</v>
      </c>
      <c r="R190" s="40">
        <v>1</v>
      </c>
      <c r="S190" s="39">
        <f t="shared" ref="S190:S198" si="7">G190*R190</f>
        <v>684905.66037735844</v>
      </c>
      <c r="T190" s="39">
        <f t="shared" ref="T190:T198" si="8">I190*R190</f>
        <v>-8304.9999999999982</v>
      </c>
      <c r="U190" s="39">
        <v>0</v>
      </c>
      <c r="V190" s="40">
        <v>0</v>
      </c>
      <c r="W190" s="39">
        <f t="shared" si="5"/>
        <v>0</v>
      </c>
      <c r="X190" s="39">
        <f t="shared" si="6"/>
        <v>0</v>
      </c>
      <c r="Y190" s="39">
        <v>0</v>
      </c>
      <c r="Z190" s="39">
        <v>0</v>
      </c>
      <c r="AA190" s="39">
        <v>0</v>
      </c>
      <c r="AB190" s="39">
        <v>0</v>
      </c>
      <c r="AC190" s="39">
        <v>0</v>
      </c>
    </row>
    <row r="191" spans="1:29" ht="16.5" x14ac:dyDescent="0.15">
      <c r="A191" s="35" t="s">
        <v>36</v>
      </c>
      <c r="B191" s="35" t="s">
        <v>405</v>
      </c>
      <c r="C191" s="36"/>
      <c r="D191" s="35" t="s">
        <v>36</v>
      </c>
      <c r="E191" s="14" t="s">
        <v>427</v>
      </c>
      <c r="F191" s="16">
        <v>880990</v>
      </c>
      <c r="G191" s="16">
        <v>752982.905982906</v>
      </c>
      <c r="H191" s="37">
        <v>0.17464027463297058</v>
      </c>
      <c r="I191" s="16">
        <v>131501.14149478698</v>
      </c>
      <c r="J191" s="15"/>
      <c r="K191" s="35" t="s">
        <v>425</v>
      </c>
      <c r="L191" s="36">
        <v>12</v>
      </c>
      <c r="M191" s="36" t="s">
        <v>57</v>
      </c>
      <c r="N191" s="38">
        <v>0</v>
      </c>
      <c r="O191" s="36" t="s">
        <v>40</v>
      </c>
      <c r="P191" s="36"/>
      <c r="Q191" s="39" t="s">
        <v>412</v>
      </c>
      <c r="R191" s="40">
        <v>1</v>
      </c>
      <c r="S191" s="39">
        <f t="shared" si="7"/>
        <v>752982.905982906</v>
      </c>
      <c r="T191" s="39">
        <f t="shared" si="8"/>
        <v>131501.14149478698</v>
      </c>
      <c r="U191" s="39">
        <v>0</v>
      </c>
      <c r="V191" s="40">
        <v>0</v>
      </c>
      <c r="W191" s="39">
        <f t="shared" si="5"/>
        <v>0</v>
      </c>
      <c r="X191" s="39">
        <f t="shared" si="6"/>
        <v>0</v>
      </c>
      <c r="Y191" s="39">
        <v>0</v>
      </c>
      <c r="Z191" s="39">
        <v>0</v>
      </c>
      <c r="AA191" s="39">
        <v>0</v>
      </c>
      <c r="AB191" s="39">
        <v>0</v>
      </c>
      <c r="AC191" s="39">
        <v>0</v>
      </c>
    </row>
    <row r="192" spans="1:29" ht="16.5" x14ac:dyDescent="0.15">
      <c r="A192" s="35" t="s">
        <v>7</v>
      </c>
      <c r="B192" s="35" t="s">
        <v>405</v>
      </c>
      <c r="C192" s="36"/>
      <c r="D192" s="35" t="s">
        <v>7</v>
      </c>
      <c r="E192" s="14" t="s">
        <v>403</v>
      </c>
      <c r="F192" s="16">
        <v>120000</v>
      </c>
      <c r="G192" s="16">
        <v>113207.54716981131</v>
      </c>
      <c r="H192" s="37">
        <v>0.3085</v>
      </c>
      <c r="I192" s="16">
        <v>34924.528301886792</v>
      </c>
      <c r="J192" s="15"/>
      <c r="K192" s="35" t="s">
        <v>402</v>
      </c>
      <c r="L192" s="36">
        <v>12</v>
      </c>
      <c r="M192" s="36" t="s">
        <v>57</v>
      </c>
      <c r="N192" s="38">
        <v>0</v>
      </c>
      <c r="O192" s="36" t="s">
        <v>29</v>
      </c>
      <c r="P192" s="36"/>
      <c r="Q192" s="39" t="s">
        <v>402</v>
      </c>
      <c r="R192" s="40">
        <v>1</v>
      </c>
      <c r="S192" s="39">
        <f t="shared" si="7"/>
        <v>113207.54716981131</v>
      </c>
      <c r="T192" s="39">
        <f t="shared" si="8"/>
        <v>34924.528301886792</v>
      </c>
      <c r="U192" s="39">
        <v>0</v>
      </c>
      <c r="V192" s="40">
        <v>0</v>
      </c>
      <c r="W192" s="39">
        <f t="shared" si="5"/>
        <v>0</v>
      </c>
      <c r="X192" s="39">
        <f t="shared" si="6"/>
        <v>0</v>
      </c>
      <c r="Y192" s="39">
        <v>0</v>
      </c>
      <c r="Z192" s="39">
        <v>0</v>
      </c>
      <c r="AA192" s="39">
        <v>0</v>
      </c>
      <c r="AB192" s="39">
        <v>0</v>
      </c>
      <c r="AC192" s="39" t="s">
        <v>32</v>
      </c>
    </row>
    <row r="193" spans="1:29" ht="16.5" x14ac:dyDescent="0.15">
      <c r="A193" s="35" t="s">
        <v>71</v>
      </c>
      <c r="B193" s="35" t="s">
        <v>405</v>
      </c>
      <c r="C193" s="36"/>
      <c r="D193" s="35" t="s">
        <v>7</v>
      </c>
      <c r="E193" s="14" t="s">
        <v>420</v>
      </c>
      <c r="F193" s="16">
        <v>2272023</v>
      </c>
      <c r="G193" s="16">
        <v>1941900.0000000002</v>
      </c>
      <c r="H193" s="37">
        <v>0.08</v>
      </c>
      <c r="I193" s="16">
        <v>155352.00000000003</v>
      </c>
      <c r="J193" s="15"/>
      <c r="K193" s="35" t="s">
        <v>410</v>
      </c>
      <c r="L193" s="36">
        <v>12</v>
      </c>
      <c r="M193" s="36" t="s">
        <v>57</v>
      </c>
      <c r="N193" s="38">
        <v>0</v>
      </c>
      <c r="O193" s="36" t="s">
        <v>74</v>
      </c>
      <c r="P193" s="36"/>
      <c r="Q193" s="39" t="s">
        <v>422</v>
      </c>
      <c r="R193" s="40">
        <v>0.6</v>
      </c>
      <c r="S193" s="39">
        <f t="shared" si="7"/>
        <v>1165140</v>
      </c>
      <c r="T193" s="39">
        <f t="shared" si="8"/>
        <v>93211.200000000012</v>
      </c>
      <c r="U193" s="39" t="s">
        <v>412</v>
      </c>
      <c r="V193" s="40">
        <v>0.4</v>
      </c>
      <c r="W193" s="39">
        <f t="shared" si="5"/>
        <v>776760.00000000012</v>
      </c>
      <c r="X193" s="39">
        <f t="shared" si="6"/>
        <v>62140.800000000017</v>
      </c>
      <c r="Y193" s="39">
        <v>0</v>
      </c>
      <c r="Z193" s="39">
        <v>0</v>
      </c>
      <c r="AA193" s="39">
        <v>0</v>
      </c>
      <c r="AB193" s="39">
        <v>0</v>
      </c>
      <c r="AC193" s="39">
        <v>0</v>
      </c>
    </row>
    <row r="194" spans="1:29" ht="16.5" x14ac:dyDescent="0.15">
      <c r="A194" s="35" t="s">
        <v>7</v>
      </c>
      <c r="B194" s="35" t="s">
        <v>405</v>
      </c>
      <c r="C194" s="36"/>
      <c r="D194" s="35" t="s">
        <v>7</v>
      </c>
      <c r="E194" s="14" t="s">
        <v>428</v>
      </c>
      <c r="F194" s="16">
        <v>224000</v>
      </c>
      <c r="G194" s="16">
        <v>211320.75471698112</v>
      </c>
      <c r="H194" s="37">
        <v>0.1</v>
      </c>
      <c r="I194" s="16">
        <v>21132.075471698114</v>
      </c>
      <c r="J194" s="15"/>
      <c r="K194" s="35" t="s">
        <v>429</v>
      </c>
      <c r="L194" s="36">
        <v>12</v>
      </c>
      <c r="M194" s="36" t="s">
        <v>57</v>
      </c>
      <c r="N194" s="38">
        <v>0</v>
      </c>
      <c r="O194" s="36" t="s">
        <v>29</v>
      </c>
      <c r="P194" s="36"/>
      <c r="Q194" s="39" t="s">
        <v>408</v>
      </c>
      <c r="R194" s="40">
        <v>1</v>
      </c>
      <c r="S194" s="39">
        <f t="shared" si="7"/>
        <v>211320.75471698112</v>
      </c>
      <c r="T194" s="39">
        <f t="shared" si="8"/>
        <v>21132.075471698114</v>
      </c>
      <c r="U194" s="39">
        <v>0</v>
      </c>
      <c r="V194" s="40">
        <v>0</v>
      </c>
      <c r="W194" s="39">
        <f t="shared" si="5"/>
        <v>0</v>
      </c>
      <c r="X194" s="39">
        <f t="shared" si="6"/>
        <v>0</v>
      </c>
      <c r="Y194" s="39">
        <v>0</v>
      </c>
      <c r="Z194" s="39">
        <v>0</v>
      </c>
      <c r="AA194" s="39">
        <v>0</v>
      </c>
      <c r="AB194" s="39">
        <v>0</v>
      </c>
      <c r="AC194" s="39">
        <v>0</v>
      </c>
    </row>
    <row r="195" spans="1:29" ht="16.5" x14ac:dyDescent="0.15">
      <c r="A195" s="35" t="s">
        <v>71</v>
      </c>
      <c r="B195" s="35" t="s">
        <v>405</v>
      </c>
      <c r="C195" s="36"/>
      <c r="D195" s="35" t="s">
        <v>7</v>
      </c>
      <c r="E195" s="14" t="s">
        <v>430</v>
      </c>
      <c r="F195" s="16">
        <v>1177380.1399999999</v>
      </c>
      <c r="G195" s="16">
        <v>1006307.8119658119</v>
      </c>
      <c r="H195" s="37">
        <v>4.5487462375712974E-2</v>
      </c>
      <c r="I195" s="16">
        <v>45774.388735180917</v>
      </c>
      <c r="J195" s="15"/>
      <c r="K195" s="35" t="s">
        <v>431</v>
      </c>
      <c r="L195" s="36">
        <v>12</v>
      </c>
      <c r="M195" s="36" t="s">
        <v>57</v>
      </c>
      <c r="N195" s="38">
        <v>0</v>
      </c>
      <c r="O195" s="36" t="s">
        <v>74</v>
      </c>
      <c r="P195" s="36"/>
      <c r="Q195" s="39" t="s">
        <v>422</v>
      </c>
      <c r="R195" s="40">
        <v>1</v>
      </c>
      <c r="S195" s="39">
        <f t="shared" si="7"/>
        <v>1006307.8119658119</v>
      </c>
      <c r="T195" s="39">
        <f t="shared" si="8"/>
        <v>45774.388735180917</v>
      </c>
      <c r="U195" s="39">
        <v>0</v>
      </c>
      <c r="V195" s="40">
        <v>0</v>
      </c>
      <c r="W195" s="39">
        <f t="shared" si="5"/>
        <v>0</v>
      </c>
      <c r="X195" s="39">
        <f t="shared" si="6"/>
        <v>0</v>
      </c>
      <c r="Y195" s="39">
        <v>0</v>
      </c>
      <c r="Z195" s="39">
        <v>0</v>
      </c>
      <c r="AA195" s="39">
        <v>0</v>
      </c>
      <c r="AB195" s="39">
        <v>0</v>
      </c>
      <c r="AC195" s="39">
        <v>0</v>
      </c>
    </row>
    <row r="196" spans="1:29" ht="16.5" x14ac:dyDescent="0.35">
      <c r="A196" s="35" t="s">
        <v>69</v>
      </c>
      <c r="B196" s="35" t="s">
        <v>405</v>
      </c>
      <c r="C196" s="12"/>
      <c r="D196" s="35" t="s">
        <v>69</v>
      </c>
      <c r="E196" s="41" t="s">
        <v>70</v>
      </c>
      <c r="F196" s="42"/>
      <c r="G196" s="42"/>
      <c r="H196" s="19"/>
      <c r="I196" s="42">
        <v>100635.31160296727</v>
      </c>
      <c r="J196" s="43"/>
      <c r="K196" s="35"/>
      <c r="L196" s="35">
        <v>10</v>
      </c>
      <c r="M196" s="35" t="s">
        <v>57</v>
      </c>
      <c r="N196" s="44">
        <v>100635.31160296727</v>
      </c>
      <c r="O196" s="35" t="s">
        <v>29</v>
      </c>
      <c r="P196" s="19"/>
      <c r="Q196" s="39" t="s">
        <v>408</v>
      </c>
      <c r="R196" s="40">
        <v>1</v>
      </c>
      <c r="S196" s="39">
        <f t="shared" si="7"/>
        <v>0</v>
      </c>
      <c r="T196" s="39">
        <f t="shared" si="8"/>
        <v>100635.31160296727</v>
      </c>
      <c r="U196" s="39"/>
      <c r="V196" s="39"/>
      <c r="W196" s="39">
        <f t="shared" si="5"/>
        <v>0</v>
      </c>
      <c r="X196" s="39">
        <f t="shared" si="6"/>
        <v>0</v>
      </c>
      <c r="Y196" s="39"/>
      <c r="Z196" s="39"/>
      <c r="AA196" s="39"/>
      <c r="AB196" s="39"/>
      <c r="AC196" s="39"/>
    </row>
    <row r="197" spans="1:29" ht="16.5" x14ac:dyDescent="0.35">
      <c r="A197" s="35" t="s">
        <v>36</v>
      </c>
      <c r="B197" s="35" t="s">
        <v>405</v>
      </c>
      <c r="C197" s="12"/>
      <c r="D197" s="35" t="s">
        <v>36</v>
      </c>
      <c r="E197" s="41" t="s">
        <v>418</v>
      </c>
      <c r="F197" s="42">
        <v>30000</v>
      </c>
      <c r="G197" s="42">
        <v>28301.886792452828</v>
      </c>
      <c r="H197" s="19">
        <v>1</v>
      </c>
      <c r="I197" s="42">
        <v>28301.886792452828</v>
      </c>
      <c r="J197" s="43"/>
      <c r="K197" s="35" t="s">
        <v>318</v>
      </c>
      <c r="L197" s="35">
        <v>10</v>
      </c>
      <c r="M197" s="35" t="s">
        <v>57</v>
      </c>
      <c r="N197" s="44"/>
      <c r="O197" s="35" t="s">
        <v>40</v>
      </c>
      <c r="P197" s="19" t="s">
        <v>419</v>
      </c>
      <c r="Q197" s="39" t="s">
        <v>412</v>
      </c>
      <c r="R197" s="40">
        <v>1</v>
      </c>
      <c r="S197" s="39">
        <f t="shared" si="7"/>
        <v>28301.886792452828</v>
      </c>
      <c r="T197" s="39">
        <f t="shared" si="8"/>
        <v>28301.886792452828</v>
      </c>
      <c r="U197" s="39"/>
      <c r="V197" s="39"/>
      <c r="W197" s="39">
        <f t="shared" si="5"/>
        <v>0</v>
      </c>
      <c r="X197" s="39">
        <f t="shared" si="6"/>
        <v>0</v>
      </c>
      <c r="Y197" s="39"/>
      <c r="Z197" s="39"/>
      <c r="AA197" s="39"/>
      <c r="AB197" s="39"/>
      <c r="AC197" s="39"/>
    </row>
    <row r="198" spans="1:29" ht="16.5" x14ac:dyDescent="0.35">
      <c r="A198" s="35" t="s">
        <v>71</v>
      </c>
      <c r="B198" s="35" t="s">
        <v>405</v>
      </c>
      <c r="C198" s="12"/>
      <c r="D198" s="35" t="s">
        <v>7</v>
      </c>
      <c r="E198" s="41" t="s">
        <v>420</v>
      </c>
      <c r="F198" s="42">
        <v>1048626</v>
      </c>
      <c r="G198" s="42">
        <v>896261.5384615385</v>
      </c>
      <c r="H198" s="19">
        <v>0.08</v>
      </c>
      <c r="I198" s="42">
        <v>71700.923076923078</v>
      </c>
      <c r="J198" s="43"/>
      <c r="K198" s="35" t="s">
        <v>410</v>
      </c>
      <c r="L198" s="35">
        <v>10</v>
      </c>
      <c r="M198" s="35" t="s">
        <v>57</v>
      </c>
      <c r="N198" s="44"/>
      <c r="O198" s="35" t="s">
        <v>74</v>
      </c>
      <c r="P198" s="19" t="s">
        <v>421</v>
      </c>
      <c r="Q198" s="39" t="s">
        <v>422</v>
      </c>
      <c r="R198" s="40">
        <v>0.6</v>
      </c>
      <c r="S198" s="39">
        <f t="shared" si="7"/>
        <v>537756.92307692312</v>
      </c>
      <c r="T198" s="39">
        <f t="shared" si="8"/>
        <v>43020.553846153845</v>
      </c>
      <c r="U198" s="39" t="s">
        <v>412</v>
      </c>
      <c r="V198" s="40">
        <v>0.4</v>
      </c>
      <c r="W198" s="39">
        <f t="shared" si="5"/>
        <v>358504.61538461543</v>
      </c>
      <c r="X198" s="39">
        <f t="shared" si="6"/>
        <v>28680.369230769233</v>
      </c>
      <c r="Y198" s="39"/>
      <c r="Z198" s="39"/>
      <c r="AA198" s="39"/>
      <c r="AB198" s="39"/>
      <c r="AC198" s="39"/>
    </row>
    <row r="199" spans="1:29" ht="16.5" x14ac:dyDescent="0.15">
      <c r="A199" s="35" t="s">
        <v>102</v>
      </c>
      <c r="B199" s="35" t="s">
        <v>432</v>
      </c>
      <c r="C199" s="36"/>
      <c r="D199" s="35" t="s">
        <v>102</v>
      </c>
      <c r="E199" s="14" t="s">
        <v>433</v>
      </c>
      <c r="F199" s="16">
        <v>90000</v>
      </c>
      <c r="G199" s="16">
        <v>84905.660377358479</v>
      </c>
      <c r="H199" s="37">
        <v>0.70560000000000012</v>
      </c>
      <c r="I199" s="16">
        <v>59909.433962264156</v>
      </c>
      <c r="J199" s="15"/>
      <c r="K199" s="35" t="s">
        <v>439</v>
      </c>
      <c r="L199" s="36">
        <v>12</v>
      </c>
      <c r="M199" s="36" t="s">
        <v>57</v>
      </c>
      <c r="N199" s="38">
        <v>0</v>
      </c>
      <c r="O199" s="36" t="s">
        <v>105</v>
      </c>
      <c r="P199" s="36"/>
      <c r="Q199" s="35" t="s">
        <v>439</v>
      </c>
      <c r="R199" s="40">
        <v>1</v>
      </c>
      <c r="S199" s="16">
        <v>84905.660377358479</v>
      </c>
      <c r="T199" s="16">
        <v>59909.433962264156</v>
      </c>
      <c r="U199" s="39">
        <v>0</v>
      </c>
      <c r="V199" s="40">
        <v>0</v>
      </c>
      <c r="W199" s="39">
        <v>0</v>
      </c>
      <c r="X199" s="39">
        <v>0</v>
      </c>
      <c r="Y199" s="39">
        <v>0</v>
      </c>
      <c r="Z199" s="39">
        <v>0</v>
      </c>
      <c r="AA199" s="39">
        <v>0</v>
      </c>
      <c r="AB199" s="39">
        <v>0</v>
      </c>
      <c r="AC199" s="39" t="s">
        <v>32</v>
      </c>
    </row>
    <row r="200" spans="1:29" ht="16.5" x14ac:dyDescent="0.35">
      <c r="A200" s="35" t="s">
        <v>71</v>
      </c>
      <c r="B200" s="35" t="s">
        <v>432</v>
      </c>
      <c r="C200" s="12"/>
      <c r="D200" s="35" t="s">
        <v>7</v>
      </c>
      <c r="E200" s="41" t="s">
        <v>440</v>
      </c>
      <c r="F200" s="42">
        <v>227900</v>
      </c>
      <c r="G200" s="42">
        <v>194786.32478632481</v>
      </c>
      <c r="H200" s="19">
        <v>9.6208863536638878E-2</v>
      </c>
      <c r="I200" s="42">
        <v>18740.170940170941</v>
      </c>
      <c r="J200" s="43"/>
      <c r="K200" s="35" t="s">
        <v>441</v>
      </c>
      <c r="L200" s="35">
        <v>10</v>
      </c>
      <c r="M200" s="35" t="s">
        <v>57</v>
      </c>
      <c r="N200" s="44"/>
      <c r="O200" s="35" t="s">
        <v>74</v>
      </c>
      <c r="P200" s="19">
        <v>0</v>
      </c>
      <c r="Q200" s="35" t="s">
        <v>441</v>
      </c>
      <c r="R200" s="40">
        <v>1</v>
      </c>
      <c r="S200" s="42">
        <v>194786.32478632481</v>
      </c>
      <c r="T200" s="42">
        <v>18740.170940170941</v>
      </c>
      <c r="U200" s="39"/>
      <c r="V200" s="39"/>
      <c r="W200" s="39"/>
      <c r="X200" s="39"/>
      <c r="Y200" s="39"/>
      <c r="Z200" s="39"/>
      <c r="AA200" s="39"/>
      <c r="AB200" s="39"/>
      <c r="AC200" s="39" t="s">
        <v>5</v>
      </c>
    </row>
    <row r="201" spans="1:29" ht="16.5" x14ac:dyDescent="0.35">
      <c r="A201" s="35" t="s">
        <v>69</v>
      </c>
      <c r="B201" s="35" t="s">
        <v>432</v>
      </c>
      <c r="C201" s="12"/>
      <c r="D201" s="35" t="s">
        <v>69</v>
      </c>
      <c r="E201" s="41" t="s">
        <v>70</v>
      </c>
      <c r="F201" s="42"/>
      <c r="G201" s="42"/>
      <c r="H201" s="19"/>
      <c r="I201" s="42">
        <v>31011.32075471698</v>
      </c>
      <c r="J201" s="43"/>
      <c r="K201" s="35" t="s">
        <v>439</v>
      </c>
      <c r="L201" s="35">
        <v>10</v>
      </c>
      <c r="M201" s="35" t="s">
        <v>57</v>
      </c>
      <c r="N201" s="44">
        <v>31011.32075471698</v>
      </c>
      <c r="O201" s="35" t="s">
        <v>29</v>
      </c>
      <c r="P201" s="19"/>
      <c r="Q201" s="35" t="s">
        <v>439</v>
      </c>
      <c r="R201" s="40">
        <v>1</v>
      </c>
      <c r="S201" s="42"/>
      <c r="T201" s="42">
        <v>31011.32075471698</v>
      </c>
      <c r="U201" s="39"/>
      <c r="V201" s="39"/>
      <c r="W201" s="39"/>
      <c r="X201" s="39"/>
      <c r="Y201" s="39"/>
      <c r="Z201" s="39"/>
      <c r="AA201" s="39"/>
      <c r="AB201" s="39"/>
      <c r="AC201" s="39" t="s">
        <v>442</v>
      </c>
    </row>
    <row r="202" spans="1:29" ht="16.5" x14ac:dyDescent="0.35">
      <c r="A202" s="35" t="s">
        <v>71</v>
      </c>
      <c r="B202" s="35" t="s">
        <v>432</v>
      </c>
      <c r="C202" s="12"/>
      <c r="D202" s="35" t="s">
        <v>7</v>
      </c>
      <c r="E202" s="41" t="s">
        <v>443</v>
      </c>
      <c r="F202" s="42">
        <v>1344250</v>
      </c>
      <c r="G202" s="42">
        <v>1148931.623931624</v>
      </c>
      <c r="H202" s="19">
        <v>0.1</v>
      </c>
      <c r="I202" s="42">
        <v>114893.16239316241</v>
      </c>
      <c r="J202" s="43"/>
      <c r="K202" s="35" t="s">
        <v>444</v>
      </c>
      <c r="L202" s="35">
        <v>10</v>
      </c>
      <c r="M202" s="35" t="s">
        <v>57</v>
      </c>
      <c r="N202" s="44"/>
      <c r="O202" s="35" t="s">
        <v>74</v>
      </c>
      <c r="P202" s="19" t="s">
        <v>445</v>
      </c>
      <c r="Q202" s="35" t="s">
        <v>439</v>
      </c>
      <c r="R202" s="40">
        <v>1</v>
      </c>
      <c r="S202" s="42">
        <v>1148931.623931624</v>
      </c>
      <c r="T202" s="42">
        <v>114893.16239316241</v>
      </c>
      <c r="U202" s="39"/>
      <c r="V202" s="39"/>
      <c r="W202" s="39"/>
      <c r="X202" s="39"/>
      <c r="Y202" s="39"/>
      <c r="Z202" s="39"/>
      <c r="AA202" s="39"/>
      <c r="AB202" s="39"/>
      <c r="AC202" s="39" t="s">
        <v>5</v>
      </c>
    </row>
    <row r="203" spans="1:29" ht="16.5" x14ac:dyDescent="0.35">
      <c r="A203" s="35" t="s">
        <v>7</v>
      </c>
      <c r="B203" s="35" t="s">
        <v>432</v>
      </c>
      <c r="C203" s="12"/>
      <c r="D203" s="35" t="s">
        <v>7</v>
      </c>
      <c r="E203" s="41" t="s">
        <v>437</v>
      </c>
      <c r="F203" s="42">
        <v>100000</v>
      </c>
      <c r="G203" s="42">
        <v>94339.622641509428</v>
      </c>
      <c r="H203" s="19">
        <v>1</v>
      </c>
      <c r="I203" s="42">
        <v>94339.622641509428</v>
      </c>
      <c r="J203" s="43"/>
      <c r="K203" s="35" t="s">
        <v>439</v>
      </c>
      <c r="L203" s="35">
        <v>10</v>
      </c>
      <c r="M203" s="35" t="s">
        <v>67</v>
      </c>
      <c r="N203" s="44">
        <v>48604.113207547169</v>
      </c>
      <c r="O203" s="35" t="s">
        <v>29</v>
      </c>
      <c r="P203" s="19" t="s">
        <v>438</v>
      </c>
      <c r="Q203" s="35" t="s">
        <v>439</v>
      </c>
      <c r="R203" s="40">
        <v>1</v>
      </c>
      <c r="S203" s="42">
        <v>94339.622641509428</v>
      </c>
      <c r="T203" s="42">
        <v>94339.622641509428</v>
      </c>
      <c r="U203" s="39"/>
      <c r="V203" s="39"/>
      <c r="W203" s="39"/>
      <c r="X203" s="39"/>
      <c r="Y203" s="39"/>
      <c r="Z203" s="39"/>
      <c r="AA203" s="39"/>
      <c r="AB203" s="39"/>
      <c r="AC203" s="39" t="s">
        <v>5</v>
      </c>
    </row>
    <row r="204" spans="1:29" ht="16.5" x14ac:dyDescent="0.15">
      <c r="A204" s="35" t="s">
        <v>71</v>
      </c>
      <c r="B204" s="35" t="s">
        <v>446</v>
      </c>
      <c r="C204" s="36"/>
      <c r="D204" s="35" t="s">
        <v>7</v>
      </c>
      <c r="E204" s="14" t="s">
        <v>447</v>
      </c>
      <c r="F204" s="16">
        <v>28000</v>
      </c>
      <c r="G204" s="16">
        <v>27184.466019417476</v>
      </c>
      <c r="H204" s="37">
        <v>0.03</v>
      </c>
      <c r="I204" s="16">
        <v>815.53398058252424</v>
      </c>
      <c r="J204" s="15"/>
      <c r="K204" s="35" t="s">
        <v>439</v>
      </c>
      <c r="L204" s="36">
        <v>11</v>
      </c>
      <c r="M204" s="36" t="s">
        <v>57</v>
      </c>
      <c r="N204" s="38">
        <v>0</v>
      </c>
      <c r="O204" s="36" t="s">
        <v>74</v>
      </c>
      <c r="P204" s="36"/>
      <c r="Q204" s="35" t="s">
        <v>444</v>
      </c>
      <c r="R204" s="40">
        <v>1</v>
      </c>
      <c r="S204" s="16">
        <v>27184.466019417476</v>
      </c>
      <c r="T204" s="16">
        <v>815.53398058252424</v>
      </c>
      <c r="U204" s="39"/>
      <c r="V204" s="39"/>
      <c r="W204" s="39"/>
      <c r="X204" s="39"/>
      <c r="Y204" s="39"/>
      <c r="Z204" s="39"/>
      <c r="AA204" s="39"/>
      <c r="AB204" s="39"/>
      <c r="AC204" s="39" t="s">
        <v>5</v>
      </c>
    </row>
    <row r="205" spans="1:29" ht="16.5" x14ac:dyDescent="0.15">
      <c r="A205" s="35" t="s">
        <v>71</v>
      </c>
      <c r="B205" s="35" t="s">
        <v>446</v>
      </c>
      <c r="C205" s="36"/>
      <c r="D205" s="35" t="s">
        <v>7</v>
      </c>
      <c r="E205" s="14" t="s">
        <v>448</v>
      </c>
      <c r="F205" s="16">
        <v>34943</v>
      </c>
      <c r="G205" s="16">
        <v>33925.2427184466</v>
      </c>
      <c r="H205" s="37">
        <v>0.03</v>
      </c>
      <c r="I205" s="16">
        <v>1017.757281553398</v>
      </c>
      <c r="J205" s="15"/>
      <c r="K205" s="35" t="s">
        <v>439</v>
      </c>
      <c r="L205" s="36">
        <v>11</v>
      </c>
      <c r="M205" s="36" t="s">
        <v>57</v>
      </c>
      <c r="N205" s="38">
        <v>0</v>
      </c>
      <c r="O205" s="36" t="s">
        <v>74</v>
      </c>
      <c r="P205" s="36"/>
      <c r="Q205" s="35" t="s">
        <v>439</v>
      </c>
      <c r="R205" s="40">
        <v>1</v>
      </c>
      <c r="S205" s="16">
        <v>33925.2427184466</v>
      </c>
      <c r="T205" s="16">
        <v>1017.757281553398</v>
      </c>
      <c r="U205" s="39"/>
      <c r="V205" s="39"/>
      <c r="W205" s="39"/>
      <c r="X205" s="39"/>
      <c r="Y205" s="39"/>
      <c r="Z205" s="39"/>
      <c r="AA205" s="39"/>
      <c r="AB205" s="39"/>
      <c r="AC205" s="39" t="s">
        <v>5</v>
      </c>
    </row>
    <row r="206" spans="1:29" ht="16.5" x14ac:dyDescent="0.15">
      <c r="A206" s="35" t="s">
        <v>36</v>
      </c>
      <c r="B206" s="35" t="s">
        <v>449</v>
      </c>
      <c r="C206" s="36"/>
      <c r="D206" s="35" t="s">
        <v>36</v>
      </c>
      <c r="E206" s="14" t="s">
        <v>470</v>
      </c>
      <c r="F206" s="16">
        <v>210000</v>
      </c>
      <c r="G206" s="16">
        <v>198113.20754716979</v>
      </c>
      <c r="H206" s="37">
        <v>0.95240000000000002</v>
      </c>
      <c r="I206" s="16">
        <v>188683.01886792452</v>
      </c>
      <c r="J206" s="15"/>
      <c r="K206" s="35" t="s">
        <v>468</v>
      </c>
      <c r="L206" s="36">
        <v>12</v>
      </c>
      <c r="M206" s="36" t="s">
        <v>57</v>
      </c>
      <c r="N206" s="38">
        <v>0</v>
      </c>
      <c r="O206" s="36" t="s">
        <v>40</v>
      </c>
      <c r="P206" s="36"/>
      <c r="Q206" s="35" t="s">
        <v>468</v>
      </c>
      <c r="R206" s="40">
        <v>1</v>
      </c>
      <c r="S206" s="16">
        <v>210000</v>
      </c>
      <c r="T206" s="16">
        <v>188683.01886792452</v>
      </c>
      <c r="U206" s="39">
        <v>0</v>
      </c>
      <c r="V206" s="40">
        <v>0</v>
      </c>
      <c r="W206" s="39">
        <v>0</v>
      </c>
      <c r="X206" s="39">
        <v>0</v>
      </c>
      <c r="Y206" s="39">
        <v>0</v>
      </c>
      <c r="Z206" s="39">
        <v>0</v>
      </c>
      <c r="AA206" s="39">
        <v>0</v>
      </c>
      <c r="AB206" s="39">
        <v>0</v>
      </c>
      <c r="AC206" s="39">
        <v>0</v>
      </c>
    </row>
    <row r="207" spans="1:29" ht="16.5" x14ac:dyDescent="0.15">
      <c r="A207" s="35" t="s">
        <v>36</v>
      </c>
      <c r="B207" s="35" t="s">
        <v>449</v>
      </c>
      <c r="C207" s="36"/>
      <c r="D207" s="35" t="s">
        <v>36</v>
      </c>
      <c r="E207" s="14" t="s">
        <v>471</v>
      </c>
      <c r="F207" s="16">
        <v>-195000</v>
      </c>
      <c r="G207" s="16">
        <v>-183962.264150943</v>
      </c>
      <c r="H207" s="37">
        <v>0.94020977353992941</v>
      </c>
      <c r="I207" s="16">
        <v>-172963.118717251</v>
      </c>
      <c r="J207" s="15"/>
      <c r="K207" s="35" t="s">
        <v>468</v>
      </c>
      <c r="L207" s="36">
        <v>12</v>
      </c>
      <c r="M207" s="36" t="s">
        <v>57</v>
      </c>
      <c r="N207" s="38">
        <v>0</v>
      </c>
      <c r="O207" s="36" t="s">
        <v>40</v>
      </c>
      <c r="P207" s="36"/>
      <c r="Q207" s="35" t="s">
        <v>468</v>
      </c>
      <c r="R207" s="40">
        <v>1</v>
      </c>
      <c r="S207" s="16">
        <v>-195000</v>
      </c>
      <c r="T207" s="16">
        <v>-172963.118717251</v>
      </c>
      <c r="U207" s="39">
        <v>0</v>
      </c>
      <c r="V207" s="40">
        <v>0</v>
      </c>
      <c r="W207" s="39">
        <v>0</v>
      </c>
      <c r="X207" s="39">
        <v>0</v>
      </c>
      <c r="Y207" s="39">
        <v>0</v>
      </c>
      <c r="Z207" s="39">
        <v>0</v>
      </c>
      <c r="AA207" s="39">
        <v>0</v>
      </c>
      <c r="AB207" s="39">
        <v>0</v>
      </c>
      <c r="AC207" s="39">
        <v>0</v>
      </c>
    </row>
    <row r="208" spans="1:29" ht="16.5" x14ac:dyDescent="0.15">
      <c r="A208" s="35" t="s">
        <v>36</v>
      </c>
      <c r="B208" s="35" t="s">
        <v>449</v>
      </c>
      <c r="C208" s="36"/>
      <c r="D208" s="35" t="s">
        <v>36</v>
      </c>
      <c r="E208" s="14" t="s">
        <v>472</v>
      </c>
      <c r="F208" s="16">
        <v>129000</v>
      </c>
      <c r="G208" s="16">
        <v>121698.11320754717</v>
      </c>
      <c r="H208" s="37">
        <v>0.93259999999999998</v>
      </c>
      <c r="I208" s="16">
        <v>113495.66037735849</v>
      </c>
      <c r="J208" s="15"/>
      <c r="K208" s="35" t="s">
        <v>468</v>
      </c>
      <c r="L208" s="36">
        <v>12</v>
      </c>
      <c r="M208" s="36" t="s">
        <v>57</v>
      </c>
      <c r="N208" s="38">
        <v>0</v>
      </c>
      <c r="O208" s="36" t="s">
        <v>40</v>
      </c>
      <c r="P208" s="36"/>
      <c r="Q208" s="35" t="s">
        <v>468</v>
      </c>
      <c r="R208" s="40">
        <v>1</v>
      </c>
      <c r="S208" s="16">
        <v>129000</v>
      </c>
      <c r="T208" s="16">
        <v>113495.66037735849</v>
      </c>
      <c r="U208" s="39">
        <v>0</v>
      </c>
      <c r="V208" s="40">
        <v>0</v>
      </c>
      <c r="W208" s="39">
        <v>0</v>
      </c>
      <c r="X208" s="39">
        <v>0</v>
      </c>
      <c r="Y208" s="39">
        <v>0</v>
      </c>
      <c r="Z208" s="39">
        <v>0</v>
      </c>
      <c r="AA208" s="39">
        <v>0</v>
      </c>
      <c r="AB208" s="39">
        <v>0</v>
      </c>
      <c r="AC208" s="39" t="s">
        <v>108</v>
      </c>
    </row>
    <row r="209" spans="1:29" ht="16.5" x14ac:dyDescent="0.15">
      <c r="A209" s="35" t="s">
        <v>36</v>
      </c>
      <c r="B209" s="35" t="s">
        <v>449</v>
      </c>
      <c r="C209" s="36"/>
      <c r="D209" s="35" t="s">
        <v>36</v>
      </c>
      <c r="E209" s="14" t="s">
        <v>473</v>
      </c>
      <c r="F209" s="16">
        <v>188100</v>
      </c>
      <c r="G209" s="16">
        <v>177452.83018867925</v>
      </c>
      <c r="H209" s="37">
        <v>0.92419999999999991</v>
      </c>
      <c r="I209" s="16">
        <v>164001.90566037735</v>
      </c>
      <c r="J209" s="15"/>
      <c r="K209" s="35" t="s">
        <v>468</v>
      </c>
      <c r="L209" s="36">
        <v>12</v>
      </c>
      <c r="M209" s="36" t="s">
        <v>57</v>
      </c>
      <c r="N209" s="38">
        <v>0</v>
      </c>
      <c r="O209" s="36" t="s">
        <v>40</v>
      </c>
      <c r="P209" s="36"/>
      <c r="Q209" s="35" t="s">
        <v>468</v>
      </c>
      <c r="R209" s="40">
        <v>1</v>
      </c>
      <c r="S209" s="16">
        <v>188100</v>
      </c>
      <c r="T209" s="16">
        <v>164001.90566037735</v>
      </c>
      <c r="U209" s="39">
        <v>0</v>
      </c>
      <c r="V209" s="40">
        <v>0</v>
      </c>
      <c r="W209" s="39">
        <v>0</v>
      </c>
      <c r="X209" s="39">
        <v>0</v>
      </c>
      <c r="Y209" s="39">
        <v>0</v>
      </c>
      <c r="Z209" s="39">
        <v>0</v>
      </c>
      <c r="AA209" s="39">
        <v>0</v>
      </c>
      <c r="AB209" s="39">
        <v>0</v>
      </c>
      <c r="AC209" s="39">
        <v>0</v>
      </c>
    </row>
    <row r="210" spans="1:29" ht="16.5" x14ac:dyDescent="0.15">
      <c r="A210" s="35" t="s">
        <v>36</v>
      </c>
      <c r="B210" s="35" t="s">
        <v>449</v>
      </c>
      <c r="C210" s="36"/>
      <c r="D210" s="35" t="s">
        <v>36</v>
      </c>
      <c r="E210" s="14" t="s">
        <v>465</v>
      </c>
      <c r="F210" s="16">
        <v>324000</v>
      </c>
      <c r="G210" s="16">
        <v>305660.37735849054</v>
      </c>
      <c r="H210" s="37">
        <v>0.91050000000000009</v>
      </c>
      <c r="I210" s="16">
        <v>278303.77358490566</v>
      </c>
      <c r="J210" s="15"/>
      <c r="K210" s="35" t="s">
        <v>451</v>
      </c>
      <c r="L210" s="36">
        <v>12</v>
      </c>
      <c r="M210" s="36" t="s">
        <v>57</v>
      </c>
      <c r="N210" s="38">
        <v>0</v>
      </c>
      <c r="O210" s="36" t="s">
        <v>40</v>
      </c>
      <c r="P210" s="36"/>
      <c r="Q210" s="35" t="s">
        <v>451</v>
      </c>
      <c r="R210" s="40">
        <v>1</v>
      </c>
      <c r="S210" s="16">
        <v>324000</v>
      </c>
      <c r="T210" s="16">
        <v>278303.77358490566</v>
      </c>
      <c r="U210" s="39">
        <v>0</v>
      </c>
      <c r="V210" s="40">
        <v>0</v>
      </c>
      <c r="W210" s="39">
        <v>0</v>
      </c>
      <c r="X210" s="39">
        <v>0</v>
      </c>
      <c r="Y210" s="39">
        <v>0</v>
      </c>
      <c r="Z210" s="39">
        <v>0</v>
      </c>
      <c r="AA210" s="39">
        <v>0</v>
      </c>
      <c r="AB210" s="39">
        <v>0</v>
      </c>
      <c r="AC210" s="39">
        <v>0</v>
      </c>
    </row>
    <row r="211" spans="1:29" ht="16.5" x14ac:dyDescent="0.15">
      <c r="A211" s="35" t="s">
        <v>36</v>
      </c>
      <c r="B211" s="35" t="s">
        <v>449</v>
      </c>
      <c r="C211" s="36"/>
      <c r="D211" s="35" t="s">
        <v>36</v>
      </c>
      <c r="E211" s="14" t="s">
        <v>453</v>
      </c>
      <c r="F211" s="16">
        <v>185250</v>
      </c>
      <c r="G211" s="16">
        <v>174764.15094339621</v>
      </c>
      <c r="H211" s="37">
        <v>0.9850000000000001</v>
      </c>
      <c r="I211" s="16">
        <v>172142.68867924527</v>
      </c>
      <c r="J211" s="15"/>
      <c r="K211" s="35" t="s">
        <v>451</v>
      </c>
      <c r="L211" s="36">
        <v>12</v>
      </c>
      <c r="M211" s="36" t="s">
        <v>57</v>
      </c>
      <c r="N211" s="38">
        <v>0</v>
      </c>
      <c r="O211" s="36" t="s">
        <v>40</v>
      </c>
      <c r="P211" s="36"/>
      <c r="Q211" s="35" t="s">
        <v>451</v>
      </c>
      <c r="R211" s="40">
        <v>1</v>
      </c>
      <c r="S211" s="16">
        <v>185250</v>
      </c>
      <c r="T211" s="16">
        <v>172142.68867924527</v>
      </c>
      <c r="U211" s="39">
        <v>0</v>
      </c>
      <c r="V211" s="40">
        <v>0</v>
      </c>
      <c r="W211" s="39">
        <v>0</v>
      </c>
      <c r="X211" s="39">
        <v>0</v>
      </c>
      <c r="Y211" s="39">
        <v>0</v>
      </c>
      <c r="Z211" s="39">
        <v>0</v>
      </c>
      <c r="AA211" s="39">
        <v>0</v>
      </c>
      <c r="AB211" s="39">
        <v>0</v>
      </c>
      <c r="AC211" s="39" t="s">
        <v>35</v>
      </c>
    </row>
    <row r="212" spans="1:29" ht="16.5" x14ac:dyDescent="0.15">
      <c r="A212" s="35" t="s">
        <v>36</v>
      </c>
      <c r="B212" s="35" t="s">
        <v>449</v>
      </c>
      <c r="C212" s="36"/>
      <c r="D212" s="35" t="s">
        <v>36</v>
      </c>
      <c r="E212" s="14" t="s">
        <v>450</v>
      </c>
      <c r="F212" s="16">
        <v>185250</v>
      </c>
      <c r="G212" s="16">
        <v>174764.15094339621</v>
      </c>
      <c r="H212" s="37">
        <v>0.9</v>
      </c>
      <c r="I212" s="16">
        <v>157287.7358490566</v>
      </c>
      <c r="J212" s="15"/>
      <c r="K212" s="35" t="s">
        <v>451</v>
      </c>
      <c r="L212" s="36">
        <v>12</v>
      </c>
      <c r="M212" s="36" t="s">
        <v>57</v>
      </c>
      <c r="N212" s="38">
        <v>0</v>
      </c>
      <c r="O212" s="36" t="s">
        <v>40</v>
      </c>
      <c r="P212" s="36"/>
      <c r="Q212" s="35" t="s">
        <v>451</v>
      </c>
      <c r="R212" s="40">
        <v>1</v>
      </c>
      <c r="S212" s="16">
        <v>185250</v>
      </c>
      <c r="T212" s="16">
        <v>157287.7358490566</v>
      </c>
      <c r="U212" s="39">
        <v>0</v>
      </c>
      <c r="V212" s="40">
        <v>0</v>
      </c>
      <c r="W212" s="39">
        <v>0</v>
      </c>
      <c r="X212" s="39">
        <v>0</v>
      </c>
      <c r="Y212" s="39">
        <v>0</v>
      </c>
      <c r="Z212" s="39">
        <v>0</v>
      </c>
      <c r="AA212" s="39">
        <v>0</v>
      </c>
      <c r="AB212" s="39">
        <v>0</v>
      </c>
      <c r="AC212" s="39" t="s">
        <v>32</v>
      </c>
    </row>
    <row r="213" spans="1:29" ht="16.5" x14ac:dyDescent="0.15">
      <c r="A213" s="35" t="s">
        <v>36</v>
      </c>
      <c r="B213" s="35" t="s">
        <v>449</v>
      </c>
      <c r="C213" s="36"/>
      <c r="D213" s="35" t="s">
        <v>36</v>
      </c>
      <c r="E213" s="14" t="s">
        <v>455</v>
      </c>
      <c r="F213" s="16">
        <v>185250</v>
      </c>
      <c r="G213" s="16">
        <v>174764.15094339621</v>
      </c>
      <c r="H213" s="37">
        <v>0.97950000000000004</v>
      </c>
      <c r="I213" s="16">
        <v>171181.4858490566</v>
      </c>
      <c r="J213" s="15"/>
      <c r="K213" s="35" t="s">
        <v>451</v>
      </c>
      <c r="L213" s="36">
        <v>12</v>
      </c>
      <c r="M213" s="36" t="s">
        <v>57</v>
      </c>
      <c r="N213" s="38">
        <v>0</v>
      </c>
      <c r="O213" s="36" t="s">
        <v>40</v>
      </c>
      <c r="P213" s="36"/>
      <c r="Q213" s="35" t="s">
        <v>451</v>
      </c>
      <c r="R213" s="40">
        <v>1</v>
      </c>
      <c r="S213" s="16">
        <v>185250</v>
      </c>
      <c r="T213" s="16">
        <v>171181.4858490566</v>
      </c>
      <c r="U213" s="39">
        <v>0</v>
      </c>
      <c r="V213" s="40">
        <v>0</v>
      </c>
      <c r="W213" s="39">
        <v>0</v>
      </c>
      <c r="X213" s="39">
        <v>0</v>
      </c>
      <c r="Y213" s="39">
        <v>0</v>
      </c>
      <c r="Z213" s="39">
        <v>0</v>
      </c>
      <c r="AA213" s="39">
        <v>0</v>
      </c>
      <c r="AB213" s="39">
        <v>0</v>
      </c>
      <c r="AC213" s="39" t="s">
        <v>32</v>
      </c>
    </row>
    <row r="214" spans="1:29" ht="16.5" x14ac:dyDescent="0.15">
      <c r="A214" s="35" t="s">
        <v>36</v>
      </c>
      <c r="B214" s="35" t="s">
        <v>449</v>
      </c>
      <c r="C214" s="36"/>
      <c r="D214" s="35" t="s">
        <v>36</v>
      </c>
      <c r="E214" s="14" t="s">
        <v>474</v>
      </c>
      <c r="F214" s="16">
        <v>624000</v>
      </c>
      <c r="G214" s="16">
        <v>588679.2452830188</v>
      </c>
      <c r="H214" s="37">
        <v>0.86219999999999997</v>
      </c>
      <c r="I214" s="16">
        <v>507559.2452830188</v>
      </c>
      <c r="J214" s="15"/>
      <c r="K214" s="35" t="s">
        <v>468</v>
      </c>
      <c r="L214" s="36">
        <v>12</v>
      </c>
      <c r="M214" s="36" t="s">
        <v>57</v>
      </c>
      <c r="N214" s="38">
        <v>0</v>
      </c>
      <c r="O214" s="36" t="s">
        <v>40</v>
      </c>
      <c r="P214" s="36"/>
      <c r="Q214" s="35" t="s">
        <v>468</v>
      </c>
      <c r="R214" s="40">
        <v>1</v>
      </c>
      <c r="S214" s="16">
        <v>624000</v>
      </c>
      <c r="T214" s="16">
        <v>507559.2452830188</v>
      </c>
      <c r="U214" s="39">
        <v>0</v>
      </c>
      <c r="V214" s="40">
        <v>0</v>
      </c>
      <c r="W214" s="39">
        <v>0</v>
      </c>
      <c r="X214" s="39">
        <v>0</v>
      </c>
      <c r="Y214" s="39">
        <v>0</v>
      </c>
      <c r="Z214" s="39">
        <v>0</v>
      </c>
      <c r="AA214" s="39">
        <v>0</v>
      </c>
      <c r="AB214" s="39">
        <v>0</v>
      </c>
      <c r="AC214" s="39">
        <v>0</v>
      </c>
    </row>
    <row r="215" spans="1:29" ht="16.5" x14ac:dyDescent="0.35">
      <c r="A215" s="35" t="s">
        <v>69</v>
      </c>
      <c r="B215" s="35" t="s">
        <v>449</v>
      </c>
      <c r="C215" s="12"/>
      <c r="D215" s="35" t="s">
        <v>69</v>
      </c>
      <c r="E215" s="41" t="s">
        <v>70</v>
      </c>
      <c r="F215" s="42"/>
      <c r="G215" s="42"/>
      <c r="H215" s="19"/>
      <c r="I215" s="42">
        <v>5455.2136752136748</v>
      </c>
      <c r="J215" s="43"/>
      <c r="K215" s="35"/>
      <c r="L215" s="35">
        <v>10</v>
      </c>
      <c r="M215" s="35" t="s">
        <v>57</v>
      </c>
      <c r="N215" s="44">
        <v>5455.2136752136748</v>
      </c>
      <c r="O215" s="35" t="s">
        <v>29</v>
      </c>
      <c r="P215" s="19"/>
      <c r="Q215" s="35" t="s">
        <v>475</v>
      </c>
      <c r="R215" s="40">
        <v>1</v>
      </c>
      <c r="S215" s="42"/>
      <c r="T215" s="42">
        <v>5455.2136752136748</v>
      </c>
      <c r="U215" s="39"/>
      <c r="V215" s="39"/>
      <c r="W215" s="39"/>
      <c r="X215" s="39"/>
      <c r="Y215" s="39"/>
      <c r="Z215" s="39"/>
      <c r="AA215" s="39"/>
      <c r="AB215" s="39"/>
      <c r="AC215" s="39"/>
    </row>
    <row r="216" spans="1:29" ht="16.5" x14ac:dyDescent="0.35">
      <c r="A216" s="35" t="s">
        <v>36</v>
      </c>
      <c r="B216" s="35" t="s">
        <v>449</v>
      </c>
      <c r="C216" s="12"/>
      <c r="D216" s="35" t="s">
        <v>36</v>
      </c>
      <c r="E216" s="41" t="s">
        <v>476</v>
      </c>
      <c r="F216" s="42">
        <v>2315088</v>
      </c>
      <c r="G216" s="42">
        <v>2184045.283018868</v>
      </c>
      <c r="H216" s="19">
        <v>0.95040000000000002</v>
      </c>
      <c r="I216" s="42">
        <v>2075716.6369811322</v>
      </c>
      <c r="J216" s="43"/>
      <c r="K216" s="35" t="s">
        <v>468</v>
      </c>
      <c r="L216" s="35">
        <v>10</v>
      </c>
      <c r="M216" s="35" t="s">
        <v>57</v>
      </c>
      <c r="N216" s="44"/>
      <c r="O216" s="35" t="s">
        <v>40</v>
      </c>
      <c r="P216" s="19" t="s">
        <v>477</v>
      </c>
      <c r="Q216" s="35" t="s">
        <v>468</v>
      </c>
      <c r="R216" s="40">
        <v>1</v>
      </c>
      <c r="S216" s="42">
        <v>2315088</v>
      </c>
      <c r="T216" s="42">
        <v>2075716.6369811322</v>
      </c>
      <c r="U216" s="39"/>
      <c r="V216" s="39"/>
      <c r="W216" s="39"/>
      <c r="X216" s="39"/>
      <c r="Y216" s="39"/>
      <c r="Z216" s="39"/>
      <c r="AA216" s="39"/>
      <c r="AB216" s="39"/>
      <c r="AC216" s="39"/>
    </row>
    <row r="217" spans="1:29" ht="16.5" x14ac:dyDescent="0.35">
      <c r="A217" s="35" t="s">
        <v>36</v>
      </c>
      <c r="B217" s="35" t="s">
        <v>449</v>
      </c>
      <c r="C217" s="12"/>
      <c r="D217" s="35" t="s">
        <v>36</v>
      </c>
      <c r="E217" s="41" t="s">
        <v>478</v>
      </c>
      <c r="F217" s="42">
        <v>240000</v>
      </c>
      <c r="G217" s="42">
        <v>226415.09433962262</v>
      </c>
      <c r="H217" s="19">
        <v>0.93500000000000005</v>
      </c>
      <c r="I217" s="42">
        <v>211698.11320754717</v>
      </c>
      <c r="J217" s="43"/>
      <c r="K217" s="35" t="s">
        <v>468</v>
      </c>
      <c r="L217" s="35">
        <v>10</v>
      </c>
      <c r="M217" s="35" t="s">
        <v>57</v>
      </c>
      <c r="N217" s="44"/>
      <c r="O217" s="35" t="s">
        <v>40</v>
      </c>
      <c r="P217" s="19" t="s">
        <v>479</v>
      </c>
      <c r="Q217" s="35" t="s">
        <v>468</v>
      </c>
      <c r="R217" s="40">
        <v>1</v>
      </c>
      <c r="S217" s="42">
        <v>240000</v>
      </c>
      <c r="T217" s="42">
        <v>211698.11320754717</v>
      </c>
      <c r="U217" s="39"/>
      <c r="V217" s="39"/>
      <c r="W217" s="39"/>
      <c r="X217" s="39"/>
      <c r="Y217" s="39"/>
      <c r="Z217" s="39"/>
      <c r="AA217" s="39"/>
      <c r="AB217" s="39"/>
      <c r="AC217" s="39"/>
    </row>
    <row r="218" spans="1:29" ht="16.5" x14ac:dyDescent="0.15">
      <c r="A218" s="35" t="s">
        <v>36</v>
      </c>
      <c r="B218" s="35" t="s">
        <v>464</v>
      </c>
      <c r="C218" s="48"/>
      <c r="D218" s="49" t="s">
        <v>36</v>
      </c>
      <c r="E218" s="14" t="s">
        <v>480</v>
      </c>
      <c r="F218" s="16">
        <v>285000</v>
      </c>
      <c r="G218" s="16">
        <v>243589.74358974359</v>
      </c>
      <c r="H218" s="37">
        <v>0.94</v>
      </c>
      <c r="I218" s="16">
        <v>228974.35897435897</v>
      </c>
      <c r="J218" s="50"/>
      <c r="K218" s="35" t="s">
        <v>468</v>
      </c>
      <c r="L218" s="36">
        <v>11</v>
      </c>
      <c r="M218" s="36" t="s">
        <v>57</v>
      </c>
      <c r="N218" s="38">
        <v>0</v>
      </c>
      <c r="O218" s="36" t="s">
        <v>40</v>
      </c>
      <c r="P218" s="48"/>
      <c r="Q218" s="35" t="s">
        <v>468</v>
      </c>
      <c r="R218" s="40">
        <v>1</v>
      </c>
      <c r="S218" s="16">
        <v>285000</v>
      </c>
      <c r="T218" s="16">
        <v>228974.35897435897</v>
      </c>
      <c r="U218" s="39"/>
      <c r="V218" s="39"/>
      <c r="W218" s="39"/>
      <c r="X218" s="39"/>
      <c r="Y218" s="39"/>
      <c r="Z218" s="39"/>
      <c r="AA218" s="39"/>
      <c r="AB218" s="39"/>
      <c r="AC218" s="39"/>
    </row>
    <row r="219" spans="1:29" ht="16.5" x14ac:dyDescent="0.15">
      <c r="A219" s="35" t="s">
        <v>36</v>
      </c>
      <c r="B219" s="35" t="s">
        <v>464</v>
      </c>
      <c r="C219" s="48"/>
      <c r="D219" s="49" t="s">
        <v>36</v>
      </c>
      <c r="E219" s="14" t="s">
        <v>471</v>
      </c>
      <c r="F219" s="16">
        <v>195000</v>
      </c>
      <c r="G219" s="16">
        <v>183962.26415094337</v>
      </c>
      <c r="H219" s="37">
        <v>0.94020977353992941</v>
      </c>
      <c r="I219" s="16">
        <v>172963.11871725114</v>
      </c>
      <c r="J219" s="50"/>
      <c r="K219" s="35" t="s">
        <v>468</v>
      </c>
      <c r="L219" s="36">
        <v>11</v>
      </c>
      <c r="M219" s="36" t="s">
        <v>57</v>
      </c>
      <c r="N219" s="38">
        <v>0</v>
      </c>
      <c r="O219" s="36" t="s">
        <v>40</v>
      </c>
      <c r="P219" s="48"/>
      <c r="Q219" s="35" t="s">
        <v>468</v>
      </c>
      <c r="R219" s="40">
        <v>1</v>
      </c>
      <c r="S219" s="16">
        <v>195000</v>
      </c>
      <c r="T219" s="16">
        <v>172963.11871725114</v>
      </c>
      <c r="U219" s="39"/>
      <c r="V219" s="39"/>
      <c r="W219" s="39"/>
      <c r="X219" s="39"/>
      <c r="Y219" s="39"/>
      <c r="Z219" s="39"/>
      <c r="AA219" s="39"/>
      <c r="AB219" s="39"/>
      <c r="AC219" s="39"/>
    </row>
    <row r="220" spans="1:29" ht="16.5" x14ac:dyDescent="0.15">
      <c r="A220" s="35" t="s">
        <v>7</v>
      </c>
      <c r="B220" s="35" t="s">
        <v>487</v>
      </c>
      <c r="C220" s="36"/>
      <c r="D220" s="35" t="s">
        <v>7</v>
      </c>
      <c r="E220" s="14" t="s">
        <v>502</v>
      </c>
      <c r="F220" s="16">
        <v>38000</v>
      </c>
      <c r="G220" s="16">
        <v>35849.056603773584</v>
      </c>
      <c r="H220" s="37">
        <v>1</v>
      </c>
      <c r="I220" s="16">
        <v>35849.056603773584</v>
      </c>
      <c r="J220" s="15"/>
      <c r="K220" s="35" t="s">
        <v>503</v>
      </c>
      <c r="L220" s="36">
        <v>12</v>
      </c>
      <c r="M220" s="36" t="s">
        <v>67</v>
      </c>
      <c r="N220" s="38">
        <v>10694.33962264151</v>
      </c>
      <c r="O220" s="36" t="s">
        <v>29</v>
      </c>
      <c r="P220" s="36"/>
      <c r="Q220" s="39" t="s">
        <v>499</v>
      </c>
      <c r="R220" s="40">
        <v>1</v>
      </c>
      <c r="S220" s="39">
        <v>0</v>
      </c>
      <c r="T220" s="39">
        <v>0</v>
      </c>
      <c r="U220" s="39">
        <v>0</v>
      </c>
      <c r="V220" s="40">
        <v>0</v>
      </c>
      <c r="W220" s="39">
        <v>0</v>
      </c>
      <c r="X220" s="39">
        <v>0</v>
      </c>
      <c r="Y220" s="39">
        <v>0</v>
      </c>
      <c r="Z220" s="39">
        <v>0</v>
      </c>
      <c r="AA220" s="39">
        <v>0</v>
      </c>
      <c r="AB220" s="39">
        <v>0</v>
      </c>
      <c r="AC220" s="39">
        <v>0</v>
      </c>
    </row>
    <row r="221" spans="1:29" ht="16.5" x14ac:dyDescent="0.15">
      <c r="A221" s="35" t="s">
        <v>102</v>
      </c>
      <c r="B221" s="35" t="s">
        <v>487</v>
      </c>
      <c r="C221" s="36"/>
      <c r="D221" s="35" t="s">
        <v>102</v>
      </c>
      <c r="E221" s="14" t="s">
        <v>504</v>
      </c>
      <c r="F221" s="16">
        <v>200000</v>
      </c>
      <c r="G221" s="16">
        <v>188679.24528301886</v>
      </c>
      <c r="H221" s="37">
        <v>0.4133</v>
      </c>
      <c r="I221" s="16">
        <v>77981.132075471687</v>
      </c>
      <c r="J221" s="15"/>
      <c r="K221" s="35" t="s">
        <v>503</v>
      </c>
      <c r="L221" s="36">
        <v>12</v>
      </c>
      <c r="M221" s="36" t="s">
        <v>57</v>
      </c>
      <c r="N221" s="38">
        <v>0</v>
      </c>
      <c r="O221" s="36" t="s">
        <v>105</v>
      </c>
      <c r="P221" s="36"/>
      <c r="Q221" s="39" t="s">
        <v>499</v>
      </c>
      <c r="R221" s="40">
        <v>1</v>
      </c>
      <c r="S221" s="39">
        <v>0</v>
      </c>
      <c r="T221" s="39">
        <v>0</v>
      </c>
      <c r="U221" s="39">
        <v>0</v>
      </c>
      <c r="V221" s="40">
        <v>0</v>
      </c>
      <c r="W221" s="39">
        <v>0</v>
      </c>
      <c r="X221" s="39">
        <v>0</v>
      </c>
      <c r="Y221" s="39">
        <v>0</v>
      </c>
      <c r="Z221" s="39">
        <v>0</v>
      </c>
      <c r="AA221" s="39">
        <v>0</v>
      </c>
      <c r="AB221" s="39">
        <v>0</v>
      </c>
      <c r="AC221" s="39">
        <v>0</v>
      </c>
    </row>
    <row r="222" spans="1:29" ht="16.5" x14ac:dyDescent="0.15">
      <c r="A222" s="35" t="s">
        <v>36</v>
      </c>
      <c r="B222" s="35" t="s">
        <v>487</v>
      </c>
      <c r="C222" s="36"/>
      <c r="D222" s="35" t="s">
        <v>36</v>
      </c>
      <c r="E222" s="14" t="s">
        <v>488</v>
      </c>
      <c r="F222" s="16">
        <v>-1481271.92276659</v>
      </c>
      <c r="G222" s="16">
        <v>-1397426.3422326299</v>
      </c>
      <c r="H222" s="37">
        <v>0.88119999999999987</v>
      </c>
      <c r="I222" s="16">
        <v>-1231412.0927753951</v>
      </c>
      <c r="J222" s="15"/>
      <c r="K222" s="35" t="s">
        <v>489</v>
      </c>
      <c r="L222" s="36">
        <v>12</v>
      </c>
      <c r="M222" s="36" t="s">
        <v>57</v>
      </c>
      <c r="N222" s="38">
        <v>0</v>
      </c>
      <c r="O222" s="36" t="s">
        <v>40</v>
      </c>
      <c r="P222" s="36"/>
      <c r="Q222" s="39" t="s">
        <v>491</v>
      </c>
      <c r="R222" s="40">
        <v>1</v>
      </c>
      <c r="S222" s="39" t="s">
        <v>29</v>
      </c>
      <c r="T222" s="39">
        <v>0.18689655172413788</v>
      </c>
      <c r="U222" s="39">
        <v>0</v>
      </c>
      <c r="V222" s="40">
        <v>0</v>
      </c>
      <c r="W222" s="39">
        <v>0</v>
      </c>
      <c r="X222" s="39">
        <v>0</v>
      </c>
      <c r="Y222" s="39">
        <v>0</v>
      </c>
      <c r="Z222" s="39">
        <v>0</v>
      </c>
      <c r="AA222" s="39">
        <v>0</v>
      </c>
      <c r="AB222" s="39">
        <v>0</v>
      </c>
      <c r="AC222" s="39">
        <v>0</v>
      </c>
    </row>
    <row r="223" spans="1:29" ht="16.5" x14ac:dyDescent="0.15">
      <c r="A223" s="35" t="s">
        <v>36</v>
      </c>
      <c r="B223" s="35" t="s">
        <v>487</v>
      </c>
      <c r="C223" s="36"/>
      <c r="D223" s="35" t="s">
        <v>36</v>
      </c>
      <c r="E223" s="14" t="s">
        <v>488</v>
      </c>
      <c r="F223" s="16">
        <v>1481271.92276659</v>
      </c>
      <c r="G223" s="16">
        <v>1397426.3422326299</v>
      </c>
      <c r="H223" s="37">
        <v>0.79949999999999999</v>
      </c>
      <c r="I223" s="16">
        <v>1117242.3606149876</v>
      </c>
      <c r="J223" s="15"/>
      <c r="K223" s="35" t="s">
        <v>489</v>
      </c>
      <c r="L223" s="36">
        <v>12</v>
      </c>
      <c r="M223" s="36" t="s">
        <v>57</v>
      </c>
      <c r="N223" s="38">
        <v>0</v>
      </c>
      <c r="O223" s="36" t="s">
        <v>40</v>
      </c>
      <c r="P223" s="36"/>
      <c r="Q223" s="39" t="s">
        <v>491</v>
      </c>
      <c r="R223" s="40">
        <v>1</v>
      </c>
      <c r="S223" s="39" t="s">
        <v>29</v>
      </c>
      <c r="T223" s="39">
        <v>0.18689655172413788</v>
      </c>
      <c r="U223" s="39">
        <v>0</v>
      </c>
      <c r="V223" s="40">
        <v>0</v>
      </c>
      <c r="W223" s="39">
        <v>0</v>
      </c>
      <c r="X223" s="39">
        <v>0</v>
      </c>
      <c r="Y223" s="39">
        <v>0</v>
      </c>
      <c r="Z223" s="39">
        <v>0</v>
      </c>
      <c r="AA223" s="39">
        <v>0</v>
      </c>
      <c r="AB223" s="39">
        <v>0</v>
      </c>
      <c r="AC223" s="39">
        <v>0</v>
      </c>
    </row>
    <row r="224" spans="1:29" ht="16.5" x14ac:dyDescent="0.15">
      <c r="A224" s="35" t="s">
        <v>7</v>
      </c>
      <c r="B224" s="35" t="s">
        <v>487</v>
      </c>
      <c r="C224" s="36"/>
      <c r="D224" s="35" t="s">
        <v>7</v>
      </c>
      <c r="E224" s="14" t="s">
        <v>505</v>
      </c>
      <c r="F224" s="16">
        <v>1680000</v>
      </c>
      <c r="G224" s="16">
        <v>1584905.6603773583</v>
      </c>
      <c r="H224" s="37">
        <v>0.2298</v>
      </c>
      <c r="I224" s="16">
        <v>364211.32075471693</v>
      </c>
      <c r="J224" s="15"/>
      <c r="K224" s="35" t="s">
        <v>484</v>
      </c>
      <c r="L224" s="36">
        <v>12</v>
      </c>
      <c r="M224" s="36" t="s">
        <v>67</v>
      </c>
      <c r="N224" s="38">
        <v>47241.489584596886</v>
      </c>
      <c r="O224" s="36" t="s">
        <v>29</v>
      </c>
      <c r="P224" s="36"/>
      <c r="Q224" s="39" t="s">
        <v>506</v>
      </c>
      <c r="R224" s="40">
        <v>1</v>
      </c>
      <c r="S224" s="39">
        <v>0</v>
      </c>
      <c r="T224" s="39">
        <v>0</v>
      </c>
      <c r="U224" s="39">
        <v>0</v>
      </c>
      <c r="V224" s="40">
        <v>0</v>
      </c>
      <c r="W224" s="39">
        <v>0</v>
      </c>
      <c r="X224" s="39">
        <v>0</v>
      </c>
      <c r="Y224" s="39">
        <v>0</v>
      </c>
      <c r="Z224" s="39">
        <v>0</v>
      </c>
      <c r="AA224" s="39">
        <v>0</v>
      </c>
      <c r="AB224" s="39">
        <v>0</v>
      </c>
      <c r="AC224" s="39">
        <v>0</v>
      </c>
    </row>
    <row r="225" spans="1:29" ht="16.5" x14ac:dyDescent="0.15">
      <c r="A225" s="35" t="s">
        <v>7</v>
      </c>
      <c r="B225" s="35" t="s">
        <v>487</v>
      </c>
      <c r="C225" s="36"/>
      <c r="D225" s="35" t="s">
        <v>7</v>
      </c>
      <c r="E225" s="14" t="s">
        <v>507</v>
      </c>
      <c r="F225" s="16">
        <v>4810000</v>
      </c>
      <c r="G225" s="16">
        <v>4537735.8490566034</v>
      </c>
      <c r="H225" s="37">
        <v>0.37509999999999999</v>
      </c>
      <c r="I225" s="16">
        <v>1702104.7169811318</v>
      </c>
      <c r="J225" s="15"/>
      <c r="K225" s="35" t="s">
        <v>484</v>
      </c>
      <c r="L225" s="36">
        <v>12</v>
      </c>
      <c r="M225" s="36" t="s">
        <v>67</v>
      </c>
      <c r="N225" s="38" t="s">
        <v>155</v>
      </c>
      <c r="O225" s="36" t="s">
        <v>29</v>
      </c>
      <c r="P225" s="36"/>
      <c r="Q225" s="39" t="s">
        <v>506</v>
      </c>
      <c r="R225" s="40">
        <v>1</v>
      </c>
      <c r="S225" s="39">
        <v>0</v>
      </c>
      <c r="T225" s="39">
        <v>0</v>
      </c>
      <c r="U225" s="39">
        <v>0</v>
      </c>
      <c r="V225" s="40">
        <v>0</v>
      </c>
      <c r="W225" s="39">
        <v>0</v>
      </c>
      <c r="X225" s="39">
        <v>0</v>
      </c>
      <c r="Y225" s="39">
        <v>0</v>
      </c>
      <c r="Z225" s="39">
        <v>0</v>
      </c>
      <c r="AA225" s="39">
        <v>0</v>
      </c>
      <c r="AB225" s="39">
        <v>0</v>
      </c>
      <c r="AC225" s="39">
        <v>0</v>
      </c>
    </row>
    <row r="226" spans="1:29" ht="16.5" x14ac:dyDescent="0.15">
      <c r="A226" s="35" t="s">
        <v>7</v>
      </c>
      <c r="B226" s="35" t="s">
        <v>487</v>
      </c>
      <c r="C226" s="36"/>
      <c r="D226" s="35" t="s">
        <v>7</v>
      </c>
      <c r="E226" s="14" t="s">
        <v>508</v>
      </c>
      <c r="F226" s="16">
        <v>1490000</v>
      </c>
      <c r="G226" s="16">
        <v>1405660.3773584906</v>
      </c>
      <c r="H226" s="37">
        <v>0.43440000000000006</v>
      </c>
      <c r="I226" s="16">
        <v>610618.86792452843</v>
      </c>
      <c r="J226" s="15"/>
      <c r="K226" s="35" t="s">
        <v>484</v>
      </c>
      <c r="L226" s="36">
        <v>12</v>
      </c>
      <c r="M226" s="36" t="s">
        <v>67</v>
      </c>
      <c r="N226" s="38">
        <v>404921.05660377361</v>
      </c>
      <c r="O226" s="36" t="s">
        <v>29</v>
      </c>
      <c r="P226" s="36"/>
      <c r="Q226" s="39" t="s">
        <v>495</v>
      </c>
      <c r="R226" s="40">
        <v>1</v>
      </c>
      <c r="S226" s="39">
        <v>0</v>
      </c>
      <c r="T226" s="39">
        <v>0</v>
      </c>
      <c r="U226" s="39">
        <v>0</v>
      </c>
      <c r="V226" s="40">
        <v>0</v>
      </c>
      <c r="W226" s="39">
        <v>0</v>
      </c>
      <c r="X226" s="39">
        <v>0</v>
      </c>
      <c r="Y226" s="39">
        <v>0</v>
      </c>
      <c r="Z226" s="39">
        <v>0</v>
      </c>
      <c r="AA226" s="39">
        <v>0</v>
      </c>
      <c r="AB226" s="39">
        <v>0</v>
      </c>
      <c r="AC226" s="39">
        <v>0</v>
      </c>
    </row>
    <row r="227" spans="1:29" ht="16.5" x14ac:dyDescent="0.15">
      <c r="A227" s="35" t="s">
        <v>71</v>
      </c>
      <c r="B227" s="35" t="s">
        <v>487</v>
      </c>
      <c r="C227" s="36"/>
      <c r="D227" s="35" t="s">
        <v>7</v>
      </c>
      <c r="E227" s="14" t="s">
        <v>481</v>
      </c>
      <c r="F227" s="16">
        <v>1336917.75</v>
      </c>
      <c r="G227" s="16">
        <v>1142664.7435897437</v>
      </c>
      <c r="H227" s="37">
        <v>4.9999999999999996E-2</v>
      </c>
      <c r="I227" s="16">
        <v>57133.23717948718</v>
      </c>
      <c r="J227" s="15"/>
      <c r="K227" s="35" t="s">
        <v>483</v>
      </c>
      <c r="L227" s="36">
        <v>12</v>
      </c>
      <c r="M227" s="36" t="s">
        <v>57</v>
      </c>
      <c r="N227" s="38">
        <v>0</v>
      </c>
      <c r="O227" s="36" t="s">
        <v>74</v>
      </c>
      <c r="P227" s="36"/>
      <c r="Q227" s="39" t="s">
        <v>506</v>
      </c>
      <c r="R227" s="40">
        <v>1</v>
      </c>
      <c r="S227" s="39">
        <v>0</v>
      </c>
      <c r="T227" s="39">
        <v>0</v>
      </c>
      <c r="U227" s="39">
        <v>0</v>
      </c>
      <c r="V227" s="40">
        <v>0</v>
      </c>
      <c r="W227" s="39">
        <v>0</v>
      </c>
      <c r="X227" s="39">
        <v>0</v>
      </c>
      <c r="Y227" s="39">
        <v>0</v>
      </c>
      <c r="Z227" s="39">
        <v>0</v>
      </c>
      <c r="AA227" s="39">
        <v>0</v>
      </c>
      <c r="AB227" s="39">
        <v>0</v>
      </c>
      <c r="AC227" s="39" t="s">
        <v>35</v>
      </c>
    </row>
    <row r="228" spans="1:29" ht="16.5" x14ac:dyDescent="0.35">
      <c r="A228" s="35" t="s">
        <v>7</v>
      </c>
      <c r="B228" s="35" t="s">
        <v>509</v>
      </c>
      <c r="C228" s="12"/>
      <c r="D228" s="35" t="s">
        <v>7</v>
      </c>
      <c r="E228" s="41" t="s">
        <v>507</v>
      </c>
      <c r="F228" s="42">
        <v>-1326409.25</v>
      </c>
      <c r="G228" s="42">
        <v>-1251329.4811320754</v>
      </c>
      <c r="H228" s="19">
        <v>0.37509999999999999</v>
      </c>
      <c r="I228" s="42">
        <v>-469373.68837264145</v>
      </c>
      <c r="J228" s="43"/>
      <c r="K228" s="35" t="s">
        <v>484</v>
      </c>
      <c r="L228" s="35">
        <v>10</v>
      </c>
      <c r="M228" s="35" t="s">
        <v>67</v>
      </c>
      <c r="N228" s="44"/>
      <c r="O228" s="35" t="s">
        <v>29</v>
      </c>
      <c r="P228" s="19" t="s">
        <v>510</v>
      </c>
      <c r="Q228" s="39" t="s">
        <v>506</v>
      </c>
      <c r="R228" s="40">
        <v>1</v>
      </c>
      <c r="S228" s="39"/>
      <c r="T228" s="39"/>
      <c r="U228" s="39"/>
      <c r="V228" s="39"/>
      <c r="W228" s="39"/>
      <c r="X228" s="39"/>
      <c r="Y228" s="39"/>
      <c r="Z228" s="39"/>
      <c r="AA228" s="39"/>
      <c r="AB228" s="39"/>
      <c r="AC228" s="39"/>
    </row>
    <row r="229" spans="1:29" ht="16.5" x14ac:dyDescent="0.35">
      <c r="A229" s="35" t="s">
        <v>7</v>
      </c>
      <c r="B229" s="35" t="s">
        <v>509</v>
      </c>
      <c r="C229" s="12"/>
      <c r="D229" s="35" t="s">
        <v>7</v>
      </c>
      <c r="E229" s="41" t="s">
        <v>507</v>
      </c>
      <c r="F229" s="42">
        <v>1326409.25</v>
      </c>
      <c r="G229" s="42">
        <v>1251329.4811320754</v>
      </c>
      <c r="H229" s="19">
        <v>0.37509999999999999</v>
      </c>
      <c r="I229" s="42">
        <v>469373.68837264145</v>
      </c>
      <c r="J229" s="43"/>
      <c r="K229" s="35" t="s">
        <v>484</v>
      </c>
      <c r="L229" s="35">
        <v>10</v>
      </c>
      <c r="M229" s="35" t="s">
        <v>67</v>
      </c>
      <c r="N229" s="44">
        <v>477427.75471698114</v>
      </c>
      <c r="O229" s="35" t="s">
        <v>29</v>
      </c>
      <c r="P229" s="19" t="s">
        <v>510</v>
      </c>
      <c r="Q229" s="39" t="s">
        <v>506</v>
      </c>
      <c r="R229" s="40">
        <v>1</v>
      </c>
      <c r="S229" s="39"/>
      <c r="T229" s="39"/>
      <c r="U229" s="39"/>
      <c r="V229" s="39"/>
      <c r="W229" s="39"/>
      <c r="X229" s="39"/>
      <c r="Y229" s="39"/>
      <c r="Z229" s="39"/>
      <c r="AA229" s="39"/>
      <c r="AB229" s="39"/>
      <c r="AC229" s="39"/>
    </row>
    <row r="230" spans="1:29" ht="16.5" x14ac:dyDescent="0.35">
      <c r="A230" s="35" t="s">
        <v>69</v>
      </c>
      <c r="B230" s="35" t="s">
        <v>509</v>
      </c>
      <c r="C230" s="12"/>
      <c r="D230" s="35" t="s">
        <v>69</v>
      </c>
      <c r="E230" s="41" t="s">
        <v>70</v>
      </c>
      <c r="F230" s="42"/>
      <c r="G230" s="42"/>
      <c r="H230" s="19"/>
      <c r="I230" s="42">
        <v>230295.75996933962</v>
      </c>
      <c r="J230" s="43"/>
      <c r="K230" s="35"/>
      <c r="L230" s="35">
        <v>10</v>
      </c>
      <c r="M230" s="35" t="s">
        <v>57</v>
      </c>
      <c r="N230" s="44">
        <v>230295.75996933962</v>
      </c>
      <c r="O230" s="35" t="s">
        <v>29</v>
      </c>
      <c r="P230" s="19"/>
      <c r="Q230" s="39" t="s">
        <v>499</v>
      </c>
      <c r="R230" s="40">
        <v>1</v>
      </c>
      <c r="S230" s="39"/>
      <c r="T230" s="39"/>
      <c r="U230" s="39"/>
      <c r="V230" s="39"/>
      <c r="W230" s="39"/>
      <c r="X230" s="39"/>
      <c r="Y230" s="39"/>
      <c r="Z230" s="39"/>
      <c r="AA230" s="39"/>
      <c r="AB230" s="39"/>
      <c r="AC230" s="39"/>
    </row>
    <row r="231" spans="1:29" ht="16.5" x14ac:dyDescent="0.35">
      <c r="A231" s="35" t="s">
        <v>102</v>
      </c>
      <c r="B231" s="35" t="s">
        <v>487</v>
      </c>
      <c r="C231" s="12"/>
      <c r="D231" s="35" t="s">
        <v>102</v>
      </c>
      <c r="E231" s="41" t="s">
        <v>504</v>
      </c>
      <c r="F231" s="42">
        <v>175000</v>
      </c>
      <c r="G231" s="42">
        <v>165094.33962264151</v>
      </c>
      <c r="H231" s="19">
        <v>0.4133</v>
      </c>
      <c r="I231" s="42">
        <v>68233.490566037741</v>
      </c>
      <c r="J231" s="43"/>
      <c r="K231" s="35" t="s">
        <v>503</v>
      </c>
      <c r="L231" s="35">
        <v>10</v>
      </c>
      <c r="M231" s="177" t="s">
        <v>57</v>
      </c>
      <c r="N231" s="178"/>
      <c r="O231" s="35" t="s">
        <v>105</v>
      </c>
      <c r="P231" s="19" t="s">
        <v>511</v>
      </c>
      <c r="Q231" s="39" t="s">
        <v>499</v>
      </c>
      <c r="R231" s="40">
        <v>1</v>
      </c>
      <c r="S231" s="39"/>
      <c r="T231" s="39"/>
      <c r="U231" s="39"/>
      <c r="V231" s="39"/>
      <c r="W231" s="39"/>
      <c r="X231" s="39"/>
      <c r="Y231" s="39"/>
      <c r="Z231" s="39"/>
      <c r="AA231" s="174"/>
      <c r="AB231" s="39"/>
      <c r="AC231" s="163"/>
    </row>
    <row r="232" spans="1:29" ht="16.5" x14ac:dyDescent="0.35">
      <c r="A232" s="35" t="s">
        <v>71</v>
      </c>
      <c r="B232" s="35" t="s">
        <v>487</v>
      </c>
      <c r="C232" s="12"/>
      <c r="D232" s="35" t="s">
        <v>7</v>
      </c>
      <c r="E232" s="41" t="s">
        <v>485</v>
      </c>
      <c r="F232" s="42">
        <v>1000000</v>
      </c>
      <c r="G232" s="42">
        <v>900900.90090090083</v>
      </c>
      <c r="H232" s="19">
        <v>6.0999999999999992E-2</v>
      </c>
      <c r="I232" s="42">
        <v>54954.954954954941</v>
      </c>
      <c r="J232" s="43"/>
      <c r="K232" s="35" t="s">
        <v>486</v>
      </c>
      <c r="L232" s="35">
        <v>10</v>
      </c>
      <c r="M232" s="35" t="s">
        <v>57</v>
      </c>
      <c r="N232" s="44"/>
      <c r="O232" s="102" t="s">
        <v>512</v>
      </c>
      <c r="P232" s="19" t="s">
        <v>513</v>
      </c>
      <c r="Q232" s="163" t="s">
        <v>491</v>
      </c>
      <c r="R232" s="169">
        <v>1</v>
      </c>
      <c r="S232" s="163"/>
      <c r="T232" s="163"/>
      <c r="U232" s="163"/>
      <c r="V232" s="163"/>
      <c r="W232" s="163"/>
      <c r="X232" s="163"/>
      <c r="Y232" s="163"/>
      <c r="Z232" s="163"/>
      <c r="AA232" s="163"/>
      <c r="AB232" s="163"/>
      <c r="AC232" s="163"/>
    </row>
    <row r="233" spans="1:29" ht="16.5" x14ac:dyDescent="0.15">
      <c r="A233" s="35" t="s">
        <v>7</v>
      </c>
      <c r="B233" s="35" t="s">
        <v>482</v>
      </c>
      <c r="C233" s="36"/>
      <c r="D233" s="35" t="s">
        <v>7</v>
      </c>
      <c r="E233" s="14" t="s">
        <v>514</v>
      </c>
      <c r="F233" s="16">
        <v>6969</v>
      </c>
      <c r="G233" s="16">
        <v>6574.5283018867922</v>
      </c>
      <c r="H233" s="37">
        <v>0.3</v>
      </c>
      <c r="I233" s="16">
        <v>1972.3584905660375</v>
      </c>
      <c r="J233" s="15"/>
      <c r="K233" s="35" t="s">
        <v>493</v>
      </c>
      <c r="L233" s="36">
        <v>11</v>
      </c>
      <c r="M233" s="36" t="s">
        <v>67</v>
      </c>
      <c r="N233" s="38">
        <v>1822.1886792452826</v>
      </c>
      <c r="O233" s="36" t="s">
        <v>29</v>
      </c>
      <c r="P233" s="36"/>
      <c r="Q233" s="39" t="s">
        <v>495</v>
      </c>
      <c r="R233" s="40">
        <v>1</v>
      </c>
      <c r="S233" s="39"/>
      <c r="T233" s="39"/>
      <c r="U233" s="39"/>
      <c r="V233" s="39"/>
      <c r="W233" s="39"/>
      <c r="X233" s="39"/>
      <c r="Y233" s="39"/>
      <c r="Z233" s="39"/>
      <c r="AA233" s="39"/>
      <c r="AB233" s="39"/>
      <c r="AC233" s="39"/>
    </row>
    <row r="234" spans="1:29" ht="16.5" x14ac:dyDescent="0.15">
      <c r="A234" s="35" t="s">
        <v>7</v>
      </c>
      <c r="B234" s="35" t="s">
        <v>482</v>
      </c>
      <c r="C234" s="36"/>
      <c r="D234" s="35" t="s">
        <v>7</v>
      </c>
      <c r="E234" s="14" t="s">
        <v>492</v>
      </c>
      <c r="F234" s="16">
        <v>11812</v>
      </c>
      <c r="G234" s="16">
        <v>11143.396226415094</v>
      </c>
      <c r="H234" s="37">
        <v>0.3</v>
      </c>
      <c r="I234" s="16">
        <v>3343.018867924528</v>
      </c>
      <c r="J234" s="15"/>
      <c r="K234" s="35" t="s">
        <v>493</v>
      </c>
      <c r="L234" s="36">
        <v>11</v>
      </c>
      <c r="M234" s="36" t="s">
        <v>67</v>
      </c>
      <c r="N234" s="38">
        <v>3050.9433962264147</v>
      </c>
      <c r="O234" s="36" t="s">
        <v>29</v>
      </c>
      <c r="P234" s="36"/>
      <c r="Q234" s="39" t="s">
        <v>495</v>
      </c>
      <c r="R234" s="40">
        <v>1</v>
      </c>
      <c r="S234" s="39"/>
      <c r="T234" s="39"/>
      <c r="U234" s="39"/>
      <c r="V234" s="39"/>
      <c r="W234" s="39"/>
      <c r="X234" s="39"/>
      <c r="Y234" s="39"/>
      <c r="Z234" s="39"/>
      <c r="AA234" s="39"/>
      <c r="AB234" s="39"/>
      <c r="AC234" s="39"/>
    </row>
    <row r="235" spans="1:29" ht="16.5" x14ac:dyDescent="0.15">
      <c r="A235" s="35" t="s">
        <v>36</v>
      </c>
      <c r="B235" s="35" t="s">
        <v>482</v>
      </c>
      <c r="C235" s="48"/>
      <c r="D235" s="49" t="s">
        <v>36</v>
      </c>
      <c r="E235" s="14" t="s">
        <v>515</v>
      </c>
      <c r="F235" s="16">
        <v>626450</v>
      </c>
      <c r="G235" s="16">
        <v>590990.56603773579</v>
      </c>
      <c r="H235" s="37">
        <v>0.60000000000000009</v>
      </c>
      <c r="I235" s="16">
        <v>354594.33962264151</v>
      </c>
      <c r="J235" s="50"/>
      <c r="K235" s="35" t="s">
        <v>516</v>
      </c>
      <c r="L235" s="36">
        <v>11</v>
      </c>
      <c r="M235" s="103" t="s">
        <v>57</v>
      </c>
      <c r="N235" s="104">
        <v>0</v>
      </c>
      <c r="O235" s="36" t="s">
        <v>40</v>
      </c>
      <c r="P235" s="48"/>
      <c r="Q235" s="39" t="s">
        <v>499</v>
      </c>
      <c r="R235" s="40">
        <v>1</v>
      </c>
      <c r="S235" s="39"/>
      <c r="T235" s="39"/>
      <c r="U235" s="39"/>
      <c r="V235" s="39"/>
      <c r="W235" s="39"/>
      <c r="X235" s="39"/>
      <c r="Y235" s="39"/>
      <c r="Z235" s="39"/>
      <c r="AA235" s="39"/>
      <c r="AB235" s="39"/>
      <c r="AC235" s="39"/>
    </row>
    <row r="236" spans="1:29" ht="16.5" x14ac:dyDescent="0.15">
      <c r="A236" s="35" t="s">
        <v>36</v>
      </c>
      <c r="B236" s="35" t="s">
        <v>519</v>
      </c>
      <c r="C236" s="36"/>
      <c r="D236" s="35" t="s">
        <v>36</v>
      </c>
      <c r="E236" s="14" t="s">
        <v>530</v>
      </c>
      <c r="F236" s="16">
        <v>135000</v>
      </c>
      <c r="G236" s="16">
        <v>127358.49056603773</v>
      </c>
      <c r="H236" s="37">
        <v>1</v>
      </c>
      <c r="I236" s="16">
        <v>127358.49056603773</v>
      </c>
      <c r="J236" s="15"/>
      <c r="K236" s="35" t="s">
        <v>107</v>
      </c>
      <c r="L236" s="36">
        <v>12</v>
      </c>
      <c r="M236" s="36" t="s">
        <v>57</v>
      </c>
      <c r="N236" s="38">
        <v>0</v>
      </c>
      <c r="O236" s="36" t="s">
        <v>40</v>
      </c>
      <c r="P236" s="36"/>
      <c r="Q236" s="39" t="s">
        <v>522</v>
      </c>
      <c r="R236" s="40">
        <v>1</v>
      </c>
      <c r="S236" s="45">
        <f t="shared" ref="S236:S246" si="9">G236</f>
        <v>127358.49056603773</v>
      </c>
      <c r="T236" s="45">
        <f t="shared" ref="T236:T246" si="10">I236</f>
        <v>127358.49056603773</v>
      </c>
      <c r="U236" s="39">
        <v>0</v>
      </c>
      <c r="V236" s="40">
        <v>0</v>
      </c>
      <c r="W236" s="39">
        <v>0</v>
      </c>
      <c r="X236" s="39">
        <v>0</v>
      </c>
      <c r="Y236" s="39">
        <v>0</v>
      </c>
      <c r="Z236" s="39">
        <v>0</v>
      </c>
      <c r="AA236" s="39">
        <v>0</v>
      </c>
      <c r="AB236" s="163">
        <v>0</v>
      </c>
      <c r="AC236" s="163" t="s">
        <v>531</v>
      </c>
    </row>
    <row r="237" spans="1:29" ht="16.5" x14ac:dyDescent="0.15">
      <c r="A237" s="35" t="s">
        <v>71</v>
      </c>
      <c r="B237" s="35" t="s">
        <v>519</v>
      </c>
      <c r="C237" s="36"/>
      <c r="D237" s="35" t="s">
        <v>7</v>
      </c>
      <c r="E237" s="14" t="s">
        <v>520</v>
      </c>
      <c r="F237" s="16">
        <v>188835</v>
      </c>
      <c r="G237" s="16">
        <v>161397.43589743591</v>
      </c>
      <c r="H237" s="37">
        <v>0.05</v>
      </c>
      <c r="I237" s="16">
        <v>8069.8717948717958</v>
      </c>
      <c r="J237" s="15"/>
      <c r="K237" s="35" t="s">
        <v>518</v>
      </c>
      <c r="L237" s="36">
        <v>12</v>
      </c>
      <c r="M237" s="36" t="s">
        <v>57</v>
      </c>
      <c r="N237" s="38">
        <v>0</v>
      </c>
      <c r="O237" s="36" t="s">
        <v>74</v>
      </c>
      <c r="P237" s="36"/>
      <c r="Q237" s="39" t="s">
        <v>522</v>
      </c>
      <c r="R237" s="40">
        <v>1</v>
      </c>
      <c r="S237" s="45">
        <f t="shared" si="9"/>
        <v>161397.43589743591</v>
      </c>
      <c r="T237" s="45">
        <f t="shared" si="10"/>
        <v>8069.8717948717958</v>
      </c>
      <c r="U237" s="39">
        <v>0</v>
      </c>
      <c r="V237" s="40">
        <v>0</v>
      </c>
      <c r="W237" s="39">
        <v>0</v>
      </c>
      <c r="X237" s="39">
        <v>0</v>
      </c>
      <c r="Y237" s="39">
        <v>0</v>
      </c>
      <c r="Z237" s="39">
        <v>0</v>
      </c>
      <c r="AA237" s="39">
        <v>0</v>
      </c>
      <c r="AB237" s="163">
        <v>0</v>
      </c>
      <c r="AC237" s="163" t="s">
        <v>35</v>
      </c>
    </row>
    <row r="238" spans="1:29" ht="16.5" x14ac:dyDescent="0.15">
      <c r="A238" s="35" t="s">
        <v>36</v>
      </c>
      <c r="B238" s="35" t="s">
        <v>519</v>
      </c>
      <c r="C238" s="36"/>
      <c r="D238" s="35" t="s">
        <v>36</v>
      </c>
      <c r="E238" s="14" t="s">
        <v>532</v>
      </c>
      <c r="F238" s="16">
        <v>378850</v>
      </c>
      <c r="G238" s="16">
        <v>323803.41880341881</v>
      </c>
      <c r="H238" s="37">
        <v>0.83268925033630914</v>
      </c>
      <c r="I238" s="16">
        <v>269627.62605975277</v>
      </c>
      <c r="J238" s="15"/>
      <c r="K238" s="35" t="s">
        <v>518</v>
      </c>
      <c r="L238" s="36">
        <v>12</v>
      </c>
      <c r="M238" s="36" t="s">
        <v>57</v>
      </c>
      <c r="N238" s="38">
        <v>0</v>
      </c>
      <c r="O238" s="36" t="s">
        <v>40</v>
      </c>
      <c r="P238" s="36"/>
      <c r="Q238" s="39" t="s">
        <v>522</v>
      </c>
      <c r="R238" s="40">
        <v>1</v>
      </c>
      <c r="S238" s="45">
        <f t="shared" si="9"/>
        <v>323803.41880341881</v>
      </c>
      <c r="T238" s="45">
        <f t="shared" si="10"/>
        <v>269627.62605975277</v>
      </c>
      <c r="U238" s="39">
        <v>0</v>
      </c>
      <c r="V238" s="40">
        <v>0</v>
      </c>
      <c r="W238" s="39">
        <v>0</v>
      </c>
      <c r="X238" s="39">
        <v>0</v>
      </c>
      <c r="Y238" s="39">
        <v>0</v>
      </c>
      <c r="Z238" s="39">
        <v>0</v>
      </c>
      <c r="AA238" s="39">
        <v>0</v>
      </c>
      <c r="AB238" s="163">
        <v>0</v>
      </c>
      <c r="AC238" s="163">
        <v>0</v>
      </c>
    </row>
    <row r="239" spans="1:29" ht="16.5" x14ac:dyDescent="0.15">
      <c r="A239" s="35" t="s">
        <v>36</v>
      </c>
      <c r="B239" s="35" t="s">
        <v>519</v>
      </c>
      <c r="C239" s="36"/>
      <c r="D239" s="35" t="s">
        <v>36</v>
      </c>
      <c r="E239" s="14" t="s">
        <v>533</v>
      </c>
      <c r="F239" s="16">
        <v>193400</v>
      </c>
      <c r="G239" s="16">
        <v>165299.14529914531</v>
      </c>
      <c r="H239" s="37">
        <v>0.05</v>
      </c>
      <c r="I239" s="16">
        <v>8264.9572649572656</v>
      </c>
      <c r="J239" s="15"/>
      <c r="K239" s="35" t="s">
        <v>518</v>
      </c>
      <c r="L239" s="36">
        <v>12</v>
      </c>
      <c r="M239" s="36" t="s">
        <v>57</v>
      </c>
      <c r="N239" s="38">
        <v>0</v>
      </c>
      <c r="O239" s="36" t="s">
        <v>40</v>
      </c>
      <c r="P239" s="36"/>
      <c r="Q239" s="39" t="s">
        <v>522</v>
      </c>
      <c r="R239" s="40">
        <v>1</v>
      </c>
      <c r="S239" s="45">
        <f t="shared" si="9"/>
        <v>165299.14529914531</v>
      </c>
      <c r="T239" s="45">
        <f t="shared" si="10"/>
        <v>8264.9572649572656</v>
      </c>
      <c r="U239" s="39">
        <v>0</v>
      </c>
      <c r="V239" s="40">
        <v>0</v>
      </c>
      <c r="W239" s="39">
        <v>0</v>
      </c>
      <c r="X239" s="39">
        <v>0</v>
      </c>
      <c r="Y239" s="39">
        <v>0</v>
      </c>
      <c r="Z239" s="39">
        <v>0</v>
      </c>
      <c r="AA239" s="39">
        <v>0</v>
      </c>
      <c r="AB239" s="163">
        <v>0</v>
      </c>
      <c r="AC239" s="163">
        <v>0</v>
      </c>
    </row>
    <row r="240" spans="1:29" ht="16.5" x14ac:dyDescent="0.15">
      <c r="A240" s="35" t="s">
        <v>7</v>
      </c>
      <c r="B240" s="35" t="s">
        <v>519</v>
      </c>
      <c r="C240" s="36"/>
      <c r="D240" s="35" t="s">
        <v>7</v>
      </c>
      <c r="E240" s="14" t="s">
        <v>524</v>
      </c>
      <c r="F240" s="16">
        <v>1955.9</v>
      </c>
      <c r="G240" s="16">
        <v>1845.1886792452831</v>
      </c>
      <c r="H240" s="37">
        <v>1</v>
      </c>
      <c r="I240" s="16">
        <v>1845.1886792452831</v>
      </c>
      <c r="J240" s="15"/>
      <c r="K240" s="35" t="s">
        <v>525</v>
      </c>
      <c r="L240" s="36">
        <v>12</v>
      </c>
      <c r="M240" s="36" t="s">
        <v>57</v>
      </c>
      <c r="N240" s="38" t="s">
        <v>155</v>
      </c>
      <c r="O240" s="36" t="s">
        <v>29</v>
      </c>
      <c r="P240" s="36"/>
      <c r="Q240" s="163" t="s">
        <v>522</v>
      </c>
      <c r="R240" s="169">
        <v>1</v>
      </c>
      <c r="S240" s="180">
        <f t="shared" si="9"/>
        <v>1845.1886792452831</v>
      </c>
      <c r="T240" s="180">
        <f t="shared" si="10"/>
        <v>1845.1886792452831</v>
      </c>
      <c r="U240" s="163">
        <v>0</v>
      </c>
      <c r="V240" s="169">
        <v>0</v>
      </c>
      <c r="W240" s="163">
        <v>0</v>
      </c>
      <c r="X240" s="163">
        <v>0</v>
      </c>
      <c r="Y240" s="163">
        <v>0</v>
      </c>
      <c r="Z240" s="163">
        <v>0</v>
      </c>
      <c r="AA240" s="163">
        <v>0</v>
      </c>
      <c r="AB240" s="163">
        <v>0</v>
      </c>
      <c r="AC240" s="163" t="s">
        <v>32</v>
      </c>
    </row>
    <row r="241" spans="1:29" ht="16.5" x14ac:dyDescent="0.15">
      <c r="A241" s="35" t="s">
        <v>7</v>
      </c>
      <c r="B241" s="35" t="s">
        <v>519</v>
      </c>
      <c r="C241" s="36"/>
      <c r="D241" s="35" t="s">
        <v>7</v>
      </c>
      <c r="E241" s="14" t="s">
        <v>527</v>
      </c>
      <c r="F241" s="16">
        <v>7264.16</v>
      </c>
      <c r="G241" s="16">
        <v>6852.9811320754716</v>
      </c>
      <c r="H241" s="37">
        <v>1</v>
      </c>
      <c r="I241" s="16">
        <v>6852.9811320754716</v>
      </c>
      <c r="J241" s="15"/>
      <c r="K241" s="35" t="s">
        <v>525</v>
      </c>
      <c r="L241" s="36">
        <v>12</v>
      </c>
      <c r="M241" s="36" t="s">
        <v>67</v>
      </c>
      <c r="N241" s="38">
        <v>853.54716981132094</v>
      </c>
      <c r="O241" s="36" t="s">
        <v>29</v>
      </c>
      <c r="P241" s="36"/>
      <c r="Q241" s="39" t="s">
        <v>522</v>
      </c>
      <c r="R241" s="40">
        <v>1</v>
      </c>
      <c r="S241" s="45">
        <f t="shared" si="9"/>
        <v>6852.9811320754716</v>
      </c>
      <c r="T241" s="45">
        <f t="shared" si="10"/>
        <v>6852.9811320754716</v>
      </c>
      <c r="U241" s="39">
        <v>0</v>
      </c>
      <c r="V241" s="40">
        <v>0</v>
      </c>
      <c r="W241" s="39">
        <v>0</v>
      </c>
      <c r="X241" s="39">
        <v>0</v>
      </c>
      <c r="Y241" s="39">
        <v>0</v>
      </c>
      <c r="Z241" s="39">
        <v>0</v>
      </c>
      <c r="AA241" s="39">
        <v>0</v>
      </c>
      <c r="AB241" s="39">
        <v>0</v>
      </c>
      <c r="AC241" s="39" t="s">
        <v>32</v>
      </c>
    </row>
    <row r="242" spans="1:29" ht="16.5" x14ac:dyDescent="0.35">
      <c r="A242" s="35" t="s">
        <v>69</v>
      </c>
      <c r="B242" s="35" t="s">
        <v>534</v>
      </c>
      <c r="C242" s="12"/>
      <c r="D242" s="35" t="s">
        <v>69</v>
      </c>
      <c r="E242" s="41" t="s">
        <v>70</v>
      </c>
      <c r="F242" s="42"/>
      <c r="G242" s="42"/>
      <c r="H242" s="19"/>
      <c r="I242" s="42">
        <v>300.1037735849057</v>
      </c>
      <c r="J242" s="43"/>
      <c r="K242" s="35"/>
      <c r="L242" s="35">
        <v>10</v>
      </c>
      <c r="M242" s="35" t="s">
        <v>57</v>
      </c>
      <c r="N242" s="44">
        <v>300.1037735849057</v>
      </c>
      <c r="O242" s="35" t="s">
        <v>29</v>
      </c>
      <c r="P242" s="19"/>
      <c r="Q242" s="39" t="s">
        <v>522</v>
      </c>
      <c r="R242" s="40">
        <v>1</v>
      </c>
      <c r="S242" s="45">
        <f t="shared" si="9"/>
        <v>0</v>
      </c>
      <c r="T242" s="45">
        <f t="shared" si="10"/>
        <v>300.1037735849057</v>
      </c>
      <c r="U242" s="39"/>
      <c r="V242" s="39"/>
      <c r="W242" s="39"/>
      <c r="X242" s="39"/>
      <c r="Y242" s="39"/>
      <c r="Z242" s="39"/>
      <c r="AA242" s="39"/>
      <c r="AB242" s="39"/>
      <c r="AC242" s="39"/>
    </row>
    <row r="243" spans="1:29" ht="16.5" x14ac:dyDescent="0.15">
      <c r="A243" s="35" t="s">
        <v>36</v>
      </c>
      <c r="B243" s="35" t="s">
        <v>517</v>
      </c>
      <c r="C243" s="48"/>
      <c r="D243" s="49" t="s">
        <v>36</v>
      </c>
      <c r="E243" s="14" t="s">
        <v>535</v>
      </c>
      <c r="F243" s="16">
        <v>11560</v>
      </c>
      <c r="G243" s="16">
        <v>9880.3418803418808</v>
      </c>
      <c r="H243" s="37">
        <v>0.05</v>
      </c>
      <c r="I243" s="16">
        <v>494.01709401709405</v>
      </c>
      <c r="J243" s="50"/>
      <c r="K243" s="35" t="s">
        <v>518</v>
      </c>
      <c r="L243" s="36">
        <v>11</v>
      </c>
      <c r="M243" s="36" t="s">
        <v>57</v>
      </c>
      <c r="N243" s="38">
        <v>0</v>
      </c>
      <c r="O243" s="36" t="s">
        <v>40</v>
      </c>
      <c r="P243" s="48"/>
      <c r="Q243" s="39" t="s">
        <v>522</v>
      </c>
      <c r="R243" s="40">
        <v>1</v>
      </c>
      <c r="S243" s="45">
        <f t="shared" si="9"/>
        <v>9880.3418803418808</v>
      </c>
      <c r="T243" s="45">
        <f t="shared" si="10"/>
        <v>494.01709401709405</v>
      </c>
      <c r="U243" s="39"/>
      <c r="V243" s="39"/>
      <c r="W243" s="39"/>
      <c r="X243" s="39"/>
      <c r="Y243" s="39"/>
      <c r="Z243" s="39"/>
      <c r="AA243" s="39"/>
      <c r="AB243" s="39"/>
      <c r="AC243" s="39"/>
    </row>
    <row r="244" spans="1:29" ht="16.5" x14ac:dyDescent="0.15">
      <c r="A244" s="35" t="s">
        <v>36</v>
      </c>
      <c r="B244" s="35" t="s">
        <v>539</v>
      </c>
      <c r="C244" s="36"/>
      <c r="D244" s="62" t="s">
        <v>36</v>
      </c>
      <c r="E244" s="116" t="s">
        <v>553</v>
      </c>
      <c r="F244" s="117">
        <v>1347900</v>
      </c>
      <c r="G244" s="117">
        <v>1271603.7735849055</v>
      </c>
      <c r="H244" s="127">
        <v>0.1</v>
      </c>
      <c r="I244" s="117">
        <v>127160.37735849056</v>
      </c>
      <c r="J244" s="66"/>
      <c r="K244" s="62" t="s">
        <v>554</v>
      </c>
      <c r="L244" s="128">
        <v>12</v>
      </c>
      <c r="M244" s="128" t="s">
        <v>57</v>
      </c>
      <c r="N244" s="129">
        <v>0</v>
      </c>
      <c r="O244" s="128" t="s">
        <v>40</v>
      </c>
      <c r="P244" s="128"/>
      <c r="Q244" s="128" t="s">
        <v>547</v>
      </c>
      <c r="R244" s="130">
        <v>1</v>
      </c>
      <c r="S244" s="131">
        <f t="shared" si="9"/>
        <v>1271603.7735849055</v>
      </c>
      <c r="T244" s="131">
        <f t="shared" si="10"/>
        <v>127160.37735849056</v>
      </c>
      <c r="U244" s="128">
        <v>0</v>
      </c>
      <c r="V244" s="130">
        <v>0</v>
      </c>
      <c r="W244" s="128">
        <v>0</v>
      </c>
      <c r="X244" s="128">
        <v>0</v>
      </c>
      <c r="Y244" s="128">
        <v>0</v>
      </c>
      <c r="Z244" s="128">
        <v>0</v>
      </c>
      <c r="AA244" s="128">
        <v>0</v>
      </c>
      <c r="AB244" s="128">
        <v>0</v>
      </c>
      <c r="AC244" s="128" t="s">
        <v>5</v>
      </c>
    </row>
    <row r="245" spans="1:29" ht="16.5" x14ac:dyDescent="0.15">
      <c r="A245" s="35" t="s">
        <v>7</v>
      </c>
      <c r="B245" s="35" t="s">
        <v>539</v>
      </c>
      <c r="C245" s="36"/>
      <c r="D245" s="62" t="s">
        <v>7</v>
      </c>
      <c r="E245" s="116" t="s">
        <v>555</v>
      </c>
      <c r="F245" s="117">
        <v>5000000</v>
      </c>
      <c r="G245" s="117">
        <v>4716981.1320754718</v>
      </c>
      <c r="H245" s="127">
        <v>0.35328548207555549</v>
      </c>
      <c r="I245" s="117">
        <v>1666440.9531865825</v>
      </c>
      <c r="J245" s="66"/>
      <c r="K245" s="62" t="s">
        <v>556</v>
      </c>
      <c r="L245" s="128">
        <v>12</v>
      </c>
      <c r="M245" s="128" t="s">
        <v>57</v>
      </c>
      <c r="N245" s="129">
        <v>0</v>
      </c>
      <c r="O245" s="128" t="s">
        <v>29</v>
      </c>
      <c r="P245" s="128"/>
      <c r="Q245" s="128" t="s">
        <v>547</v>
      </c>
      <c r="R245" s="130">
        <v>1</v>
      </c>
      <c r="S245" s="131">
        <f t="shared" si="9"/>
        <v>4716981.1320754718</v>
      </c>
      <c r="T245" s="131">
        <f t="shared" si="10"/>
        <v>1666440.9531865825</v>
      </c>
      <c r="U245" s="128">
        <v>0</v>
      </c>
      <c r="V245" s="130">
        <v>0</v>
      </c>
      <c r="W245" s="128">
        <v>0</v>
      </c>
      <c r="X245" s="128">
        <v>0</v>
      </c>
      <c r="Y245" s="128">
        <v>0</v>
      </c>
      <c r="Z245" s="128">
        <v>0</v>
      </c>
      <c r="AA245" s="128">
        <v>0</v>
      </c>
      <c r="AB245" s="128">
        <v>0</v>
      </c>
      <c r="AC245" s="128" t="s">
        <v>5</v>
      </c>
    </row>
    <row r="246" spans="1:29" ht="16.5" x14ac:dyDescent="0.15">
      <c r="A246" s="35" t="s">
        <v>7</v>
      </c>
      <c r="B246" s="35" t="s">
        <v>537</v>
      </c>
      <c r="C246" s="36"/>
      <c r="D246" s="62" t="s">
        <v>7</v>
      </c>
      <c r="E246" s="116" t="s">
        <v>545</v>
      </c>
      <c r="F246" s="117">
        <v>5000</v>
      </c>
      <c r="G246" s="117">
        <v>4716.9811320754716</v>
      </c>
      <c r="H246" s="127">
        <v>1</v>
      </c>
      <c r="I246" s="117">
        <v>4716.9811320754716</v>
      </c>
      <c r="J246" s="66"/>
      <c r="K246" s="62" t="s">
        <v>559</v>
      </c>
      <c r="L246" s="128">
        <v>11</v>
      </c>
      <c r="M246" s="128" t="s">
        <v>67</v>
      </c>
      <c r="N246" s="132">
        <v>0</v>
      </c>
      <c r="O246" s="128" t="s">
        <v>29</v>
      </c>
      <c r="P246" s="128"/>
      <c r="Q246" s="128" t="s">
        <v>547</v>
      </c>
      <c r="R246" s="130">
        <v>1</v>
      </c>
      <c r="S246" s="131">
        <f t="shared" si="9"/>
        <v>4716.9811320754716</v>
      </c>
      <c r="T246" s="131">
        <f t="shared" si="10"/>
        <v>4716.9811320754716</v>
      </c>
      <c r="U246" s="128"/>
      <c r="V246" s="128"/>
      <c r="W246" s="128"/>
      <c r="X246" s="128"/>
      <c r="Y246" s="128"/>
      <c r="Z246" s="128"/>
      <c r="AA246" s="128"/>
      <c r="AB246" s="128"/>
      <c r="AC246" s="128" t="s">
        <v>8</v>
      </c>
    </row>
    <row r="247" spans="1:29" ht="16.5" x14ac:dyDescent="0.15">
      <c r="A247" s="35" t="s">
        <v>71</v>
      </c>
      <c r="B247" s="35" t="s">
        <v>566</v>
      </c>
      <c r="C247" s="36"/>
      <c r="D247" s="35" t="s">
        <v>7</v>
      </c>
      <c r="E247" s="14" t="s">
        <v>561</v>
      </c>
      <c r="F247" s="16">
        <v>-1720200</v>
      </c>
      <c r="G247" s="16">
        <v>-1470256.41025641</v>
      </c>
      <c r="H247" s="37">
        <v>0.05</v>
      </c>
      <c r="I247" s="16">
        <v>-73512.820512820501</v>
      </c>
      <c r="J247" s="15"/>
      <c r="K247" s="35" t="s">
        <v>562</v>
      </c>
      <c r="L247" s="36">
        <v>12</v>
      </c>
      <c r="M247" s="36" t="s">
        <v>57</v>
      </c>
      <c r="N247" s="38">
        <v>0</v>
      </c>
      <c r="O247" s="36" t="s">
        <v>74</v>
      </c>
      <c r="P247" s="36"/>
      <c r="Q247" s="39" t="s">
        <v>564</v>
      </c>
      <c r="R247" s="40">
        <v>0.5</v>
      </c>
      <c r="S247" s="39">
        <f>-1470256.41025641/2</f>
        <v>-735128.20512820501</v>
      </c>
      <c r="T247" s="39">
        <f>-73512.8205128205/2</f>
        <v>-36756.41025641025</v>
      </c>
      <c r="U247" s="39" t="s">
        <v>565</v>
      </c>
      <c r="V247" s="40">
        <v>0.5</v>
      </c>
      <c r="W247" s="39">
        <f>-1470256.41025641/2</f>
        <v>-735128.20512820501</v>
      </c>
      <c r="X247" s="39">
        <f>-73512.8205128205/2</f>
        <v>-36756.41025641025</v>
      </c>
      <c r="Y247" s="39" t="s">
        <v>31</v>
      </c>
      <c r="Z247" s="39" t="s">
        <v>562</v>
      </c>
      <c r="AA247" s="39" t="s">
        <v>562</v>
      </c>
      <c r="AB247" s="39" t="s">
        <v>562</v>
      </c>
      <c r="AC247" s="39" t="s">
        <v>8</v>
      </c>
    </row>
    <row r="248" spans="1:29" ht="16.5" x14ac:dyDescent="0.15">
      <c r="A248" s="35" t="s">
        <v>7</v>
      </c>
      <c r="B248" s="35" t="s">
        <v>566</v>
      </c>
      <c r="C248" s="36"/>
      <c r="D248" s="35" t="s">
        <v>7</v>
      </c>
      <c r="E248" s="14" t="s">
        <v>561</v>
      </c>
      <c r="F248" s="16">
        <v>1720200</v>
      </c>
      <c r="G248" s="16">
        <v>1470256.41025641</v>
      </c>
      <c r="H248" s="37">
        <v>0.05</v>
      </c>
      <c r="I248" s="16">
        <v>73512.820512820501</v>
      </c>
      <c r="J248" s="15"/>
      <c r="K248" s="35" t="s">
        <v>562</v>
      </c>
      <c r="L248" s="36">
        <v>12</v>
      </c>
      <c r="M248" s="36" t="s">
        <v>57</v>
      </c>
      <c r="N248" s="38">
        <v>0</v>
      </c>
      <c r="O248" s="36" t="s">
        <v>29</v>
      </c>
      <c r="P248" s="36"/>
      <c r="Q248" s="39" t="s">
        <v>567</v>
      </c>
      <c r="R248" s="40">
        <v>0.5</v>
      </c>
      <c r="S248" s="39">
        <f>1470256.41025641/2</f>
        <v>735128.20512820501</v>
      </c>
      <c r="T248" s="39">
        <f>73512.8205128205/2</f>
        <v>36756.41025641025</v>
      </c>
      <c r="U248" s="39" t="s">
        <v>565</v>
      </c>
      <c r="V248" s="40">
        <v>0.5</v>
      </c>
      <c r="W248" s="39">
        <f>1470256.41025641/2</f>
        <v>735128.20512820501</v>
      </c>
      <c r="X248" s="39">
        <f>73512.8205128205/2</f>
        <v>36756.41025641025</v>
      </c>
      <c r="Y248" s="39" t="s">
        <v>31</v>
      </c>
      <c r="Z248" s="39" t="s">
        <v>562</v>
      </c>
      <c r="AA248" s="39" t="s">
        <v>562</v>
      </c>
      <c r="AB248" s="39" t="s">
        <v>562</v>
      </c>
      <c r="AC248" s="39" t="s">
        <v>8</v>
      </c>
    </row>
    <row r="249" spans="1:29" ht="16.5" x14ac:dyDescent="0.15">
      <c r="A249" s="35" t="s">
        <v>71</v>
      </c>
      <c r="B249" s="35" t="s">
        <v>560</v>
      </c>
      <c r="C249" s="48"/>
      <c r="D249" s="49" t="s">
        <v>7</v>
      </c>
      <c r="E249" s="14" t="s">
        <v>561</v>
      </c>
      <c r="F249" s="16">
        <v>1720200</v>
      </c>
      <c r="G249" s="16">
        <v>1470256.4102564103</v>
      </c>
      <c r="H249" s="37">
        <v>0.05</v>
      </c>
      <c r="I249" s="16">
        <v>73512.820512820515</v>
      </c>
      <c r="J249" s="50"/>
      <c r="K249" s="35" t="s">
        <v>562</v>
      </c>
      <c r="L249" s="36">
        <v>11</v>
      </c>
      <c r="M249" s="36" t="s">
        <v>57</v>
      </c>
      <c r="N249" s="38">
        <v>0</v>
      </c>
      <c r="O249" s="36" t="s">
        <v>74</v>
      </c>
      <c r="P249" s="48"/>
      <c r="Q249" s="39" t="s">
        <v>567</v>
      </c>
      <c r="R249" s="40">
        <v>0.5</v>
      </c>
      <c r="S249" s="39">
        <f>1470256.41025641/2</f>
        <v>735128.20512820501</v>
      </c>
      <c r="T249" s="39">
        <f>73512.8205128205/2</f>
        <v>36756.41025641025</v>
      </c>
      <c r="U249" s="39" t="s">
        <v>565</v>
      </c>
      <c r="V249" s="40">
        <v>0.5</v>
      </c>
      <c r="W249" s="39">
        <f>1470256.41025641/2</f>
        <v>735128.20512820501</v>
      </c>
      <c r="X249" s="39">
        <f>73512.8205128205/2</f>
        <v>36756.41025641025</v>
      </c>
      <c r="Y249" s="39" t="s">
        <v>31</v>
      </c>
      <c r="Z249" s="39" t="s">
        <v>562</v>
      </c>
      <c r="AA249" s="39" t="s">
        <v>562</v>
      </c>
      <c r="AB249" s="39" t="s">
        <v>562</v>
      </c>
      <c r="AC249" s="39" t="s">
        <v>8</v>
      </c>
    </row>
    <row r="250" spans="1:29" ht="16.5" x14ac:dyDescent="0.15">
      <c r="A250" s="35" t="s">
        <v>102</v>
      </c>
      <c r="B250" s="35" t="s">
        <v>568</v>
      </c>
      <c r="C250" s="36"/>
      <c r="D250" s="35" t="s">
        <v>102</v>
      </c>
      <c r="E250" s="14" t="s">
        <v>569</v>
      </c>
      <c r="F250" s="16">
        <v>800000</v>
      </c>
      <c r="G250" s="16">
        <v>754716.98113207542</v>
      </c>
      <c r="H250" s="37">
        <v>0.53459999999999996</v>
      </c>
      <c r="I250" s="16">
        <v>403471.69811320747</v>
      </c>
      <c r="J250" s="15"/>
      <c r="K250" s="35" t="s">
        <v>570</v>
      </c>
      <c r="L250" s="36">
        <v>12</v>
      </c>
      <c r="M250" s="36" t="s">
        <v>57</v>
      </c>
      <c r="N250" s="38">
        <v>0</v>
      </c>
      <c r="O250" s="36" t="s">
        <v>105</v>
      </c>
      <c r="P250" s="36"/>
      <c r="Q250" s="59" t="s">
        <v>570</v>
      </c>
      <c r="R250" s="40">
        <v>1</v>
      </c>
      <c r="S250" s="68">
        <v>754716.98113207542</v>
      </c>
      <c r="T250" s="68">
        <v>403471.69811320747</v>
      </c>
      <c r="U250" s="39">
        <v>0</v>
      </c>
      <c r="V250" s="40">
        <v>0</v>
      </c>
      <c r="W250" s="39">
        <v>0</v>
      </c>
      <c r="X250" s="39">
        <v>0</v>
      </c>
      <c r="Y250" s="39">
        <v>0</v>
      </c>
      <c r="Z250" s="39">
        <v>0</v>
      </c>
      <c r="AA250" s="39">
        <v>0</v>
      </c>
      <c r="AB250" s="39">
        <v>0</v>
      </c>
      <c r="AC250" s="39" t="s">
        <v>32</v>
      </c>
    </row>
    <row r="251" spans="1:29" ht="16.5" x14ac:dyDescent="0.15">
      <c r="A251" s="35" t="s">
        <v>7</v>
      </c>
      <c r="B251" s="35" t="s">
        <v>568</v>
      </c>
      <c r="C251" s="36"/>
      <c r="D251" s="35" t="s">
        <v>7</v>
      </c>
      <c r="E251" s="14" t="s">
        <v>575</v>
      </c>
      <c r="F251" s="16">
        <v>88504.79</v>
      </c>
      <c r="G251" s="16">
        <v>75645.119658119656</v>
      </c>
      <c r="H251" s="37">
        <v>9.7000000000000003E-2</v>
      </c>
      <c r="I251" s="16">
        <v>7337.576606837607</v>
      </c>
      <c r="J251" s="15"/>
      <c r="K251" s="35" t="s">
        <v>576</v>
      </c>
      <c r="L251" s="36">
        <v>12</v>
      </c>
      <c r="M251" s="157" t="s">
        <v>57</v>
      </c>
      <c r="N251" s="160">
        <v>0</v>
      </c>
      <c r="O251" s="36" t="s">
        <v>29</v>
      </c>
      <c r="P251" s="36"/>
      <c r="Q251" s="59" t="s">
        <v>570</v>
      </c>
      <c r="R251" s="40">
        <v>1</v>
      </c>
      <c r="S251" s="68">
        <v>75645.119658119656</v>
      </c>
      <c r="T251" s="68">
        <v>7337.576606837607</v>
      </c>
      <c r="U251" s="39">
        <v>0</v>
      </c>
      <c r="V251" s="40">
        <v>0</v>
      </c>
      <c r="W251" s="39">
        <v>0</v>
      </c>
      <c r="X251" s="39">
        <v>0</v>
      </c>
      <c r="Y251" s="39">
        <v>0</v>
      </c>
      <c r="Z251" s="39">
        <v>0</v>
      </c>
      <c r="AA251" s="174">
        <v>0</v>
      </c>
      <c r="AB251" s="39">
        <v>0</v>
      </c>
      <c r="AC251" s="163">
        <v>0</v>
      </c>
    </row>
    <row r="252" spans="1:29" ht="16.5" x14ac:dyDescent="0.35">
      <c r="A252" s="35" t="s">
        <v>36</v>
      </c>
      <c r="B252" s="35" t="s">
        <v>568</v>
      </c>
      <c r="C252" s="12"/>
      <c r="D252" s="35" t="s">
        <v>36</v>
      </c>
      <c r="E252" s="41" t="s">
        <v>577</v>
      </c>
      <c r="F252" s="42">
        <v>68000</v>
      </c>
      <c r="G252" s="42">
        <v>64150.943396226408</v>
      </c>
      <c r="H252" s="19">
        <v>0.65002941176470597</v>
      </c>
      <c r="I252" s="42">
        <v>41700</v>
      </c>
      <c r="J252" s="43"/>
      <c r="K252" s="35" t="s">
        <v>516</v>
      </c>
      <c r="L252" s="35">
        <v>10</v>
      </c>
      <c r="M252" s="35" t="s">
        <v>57</v>
      </c>
      <c r="N252" s="44"/>
      <c r="O252" s="35" t="s">
        <v>40</v>
      </c>
      <c r="P252" s="19" t="s">
        <v>578</v>
      </c>
      <c r="Q252" s="59" t="s">
        <v>570</v>
      </c>
      <c r="R252" s="40">
        <v>1</v>
      </c>
      <c r="S252" s="69">
        <v>64150.943396226408</v>
      </c>
      <c r="T252" s="69">
        <v>41700</v>
      </c>
      <c r="U252" s="39"/>
      <c r="V252" s="39"/>
      <c r="W252" s="39"/>
      <c r="X252" s="39"/>
      <c r="Y252" s="39"/>
      <c r="Z252" s="39"/>
      <c r="AA252" s="39"/>
      <c r="AB252" s="163"/>
      <c r="AC252" s="163"/>
    </row>
    <row r="253" spans="1:29" ht="16.5" x14ac:dyDescent="0.35">
      <c r="A253" s="62" t="s">
        <v>36</v>
      </c>
      <c r="B253" s="62" t="s">
        <v>568</v>
      </c>
      <c r="C253" s="12"/>
      <c r="D253" s="62" t="s">
        <v>36</v>
      </c>
      <c r="E253" s="63" t="s">
        <v>579</v>
      </c>
      <c r="F253" s="64">
        <v>65000</v>
      </c>
      <c r="G253" s="64">
        <v>61320.75471698113</v>
      </c>
      <c r="H253" s="65">
        <v>0.7</v>
      </c>
      <c r="I253" s="64">
        <v>42924.528301886785</v>
      </c>
      <c r="J253" s="66"/>
      <c r="K253" s="62" t="s">
        <v>4</v>
      </c>
      <c r="L253" s="35">
        <v>10</v>
      </c>
      <c r="M253" s="62" t="s">
        <v>57</v>
      </c>
      <c r="N253" s="67"/>
      <c r="O253" s="62" t="s">
        <v>40</v>
      </c>
      <c r="P253" s="65" t="s">
        <v>580</v>
      </c>
      <c r="Q253" s="59" t="s">
        <v>570</v>
      </c>
      <c r="R253" s="40">
        <v>1</v>
      </c>
      <c r="S253" s="69">
        <v>61320.75471698113</v>
      </c>
      <c r="T253" s="69">
        <v>42924.528301886785</v>
      </c>
      <c r="U253" s="39"/>
      <c r="V253" s="39"/>
      <c r="W253" s="39"/>
      <c r="X253" s="39"/>
      <c r="Y253" s="39"/>
      <c r="Z253" s="39"/>
      <c r="AA253" s="39"/>
      <c r="AB253" s="163"/>
      <c r="AC253" s="163"/>
    </row>
    <row r="254" spans="1:29" ht="16.5" x14ac:dyDescent="0.15">
      <c r="A254" s="35" t="s">
        <v>36</v>
      </c>
      <c r="B254" s="35" t="s">
        <v>585</v>
      </c>
      <c r="C254" s="36"/>
      <c r="D254" s="35" t="s">
        <v>36</v>
      </c>
      <c r="E254" s="14" t="s">
        <v>619</v>
      </c>
      <c r="F254" s="16">
        <v>20000</v>
      </c>
      <c r="G254" s="16">
        <v>18867.924528301886</v>
      </c>
      <c r="H254" s="37">
        <v>0.25</v>
      </c>
      <c r="I254" s="16">
        <v>4716.9811320754716</v>
      </c>
      <c r="J254" s="15"/>
      <c r="K254" s="35" t="s">
        <v>582</v>
      </c>
      <c r="L254" s="36">
        <v>12</v>
      </c>
      <c r="M254" s="36" t="s">
        <v>57</v>
      </c>
      <c r="N254" s="38">
        <v>0</v>
      </c>
      <c r="O254" s="36" t="s">
        <v>40</v>
      </c>
      <c r="P254" s="36"/>
      <c r="Q254" s="35" t="s">
        <v>582</v>
      </c>
      <c r="R254" s="125">
        <v>1</v>
      </c>
      <c r="S254" s="16">
        <v>18867.924528301886</v>
      </c>
      <c r="T254" s="16">
        <v>4716.9811320754716</v>
      </c>
      <c r="U254" s="39">
        <v>0</v>
      </c>
      <c r="V254" s="40">
        <v>0</v>
      </c>
      <c r="W254" s="39">
        <v>0</v>
      </c>
      <c r="X254" s="39">
        <v>0</v>
      </c>
      <c r="Y254" s="39">
        <v>0</v>
      </c>
      <c r="Z254" s="39">
        <v>0</v>
      </c>
      <c r="AA254" s="39">
        <v>0</v>
      </c>
      <c r="AB254" s="163">
        <v>0</v>
      </c>
      <c r="AC254" s="163">
        <v>0</v>
      </c>
    </row>
    <row r="255" spans="1:29" ht="16.5" x14ac:dyDescent="0.15">
      <c r="A255" s="35" t="s">
        <v>36</v>
      </c>
      <c r="B255" s="35" t="s">
        <v>585</v>
      </c>
      <c r="C255" s="36"/>
      <c r="D255" s="35" t="s">
        <v>36</v>
      </c>
      <c r="E255" s="14" t="s">
        <v>619</v>
      </c>
      <c r="F255" s="16">
        <v>20000</v>
      </c>
      <c r="G255" s="16">
        <v>18867.924528301886</v>
      </c>
      <c r="H255" s="37">
        <v>0.25</v>
      </c>
      <c r="I255" s="16">
        <v>4716.9811320754716</v>
      </c>
      <c r="J255" s="15"/>
      <c r="K255" s="35" t="s">
        <v>582</v>
      </c>
      <c r="L255" s="36">
        <v>12</v>
      </c>
      <c r="M255" s="36" t="s">
        <v>57</v>
      </c>
      <c r="N255" s="38">
        <v>0</v>
      </c>
      <c r="O255" s="36" t="s">
        <v>40</v>
      </c>
      <c r="P255" s="36"/>
      <c r="Q255" s="35" t="s">
        <v>582</v>
      </c>
      <c r="R255" s="125">
        <v>1</v>
      </c>
      <c r="S255" s="16">
        <v>18867.924528301886</v>
      </c>
      <c r="T255" s="16">
        <v>4716.9811320754716</v>
      </c>
      <c r="U255" s="39">
        <v>0</v>
      </c>
      <c r="V255" s="40">
        <v>0</v>
      </c>
      <c r="W255" s="39">
        <v>0</v>
      </c>
      <c r="X255" s="39">
        <v>0</v>
      </c>
      <c r="Y255" s="39">
        <v>0</v>
      </c>
      <c r="Z255" s="39">
        <v>0</v>
      </c>
      <c r="AA255" s="39">
        <v>0</v>
      </c>
      <c r="AB255" s="163">
        <v>0</v>
      </c>
      <c r="AC255" s="163" t="s">
        <v>620</v>
      </c>
    </row>
    <row r="256" spans="1:29" ht="16.5" x14ac:dyDescent="0.15">
      <c r="A256" s="35" t="s">
        <v>36</v>
      </c>
      <c r="B256" s="35" t="s">
        <v>585</v>
      </c>
      <c r="C256" s="36"/>
      <c r="D256" s="35" t="s">
        <v>36</v>
      </c>
      <c r="E256" s="14" t="s">
        <v>619</v>
      </c>
      <c r="F256" s="16">
        <v>20000</v>
      </c>
      <c r="G256" s="16">
        <v>18867.924528301886</v>
      </c>
      <c r="H256" s="37">
        <v>0.25</v>
      </c>
      <c r="I256" s="16">
        <v>4716.9811320754716</v>
      </c>
      <c r="J256" s="15"/>
      <c r="K256" s="35" t="s">
        <v>582</v>
      </c>
      <c r="L256" s="36">
        <v>12</v>
      </c>
      <c r="M256" s="36" t="s">
        <v>57</v>
      </c>
      <c r="N256" s="38">
        <v>0</v>
      </c>
      <c r="O256" s="36" t="s">
        <v>40</v>
      </c>
      <c r="P256" s="36"/>
      <c r="Q256" s="35" t="s">
        <v>582</v>
      </c>
      <c r="R256" s="125">
        <v>1</v>
      </c>
      <c r="S256" s="16">
        <v>18867.924528301886</v>
      </c>
      <c r="T256" s="16">
        <v>4716.9811320754716</v>
      </c>
      <c r="U256" s="39">
        <v>0</v>
      </c>
      <c r="V256" s="40">
        <v>0</v>
      </c>
      <c r="W256" s="39">
        <v>0</v>
      </c>
      <c r="X256" s="39">
        <v>0</v>
      </c>
      <c r="Y256" s="39">
        <v>0</v>
      </c>
      <c r="Z256" s="39">
        <v>0</v>
      </c>
      <c r="AA256" s="39">
        <v>0</v>
      </c>
      <c r="AB256" s="163">
        <v>0</v>
      </c>
      <c r="AC256" s="163">
        <v>0</v>
      </c>
    </row>
    <row r="257" spans="1:29" ht="16.5" x14ac:dyDescent="0.15">
      <c r="A257" s="35" t="s">
        <v>36</v>
      </c>
      <c r="B257" s="35" t="s">
        <v>585</v>
      </c>
      <c r="C257" s="36"/>
      <c r="D257" s="35" t="s">
        <v>36</v>
      </c>
      <c r="E257" s="14" t="s">
        <v>619</v>
      </c>
      <c r="F257" s="16">
        <v>20000</v>
      </c>
      <c r="G257" s="16">
        <v>18867.924528301886</v>
      </c>
      <c r="H257" s="37">
        <v>0.25</v>
      </c>
      <c r="I257" s="16">
        <v>4716.9811320754716</v>
      </c>
      <c r="J257" s="15"/>
      <c r="K257" s="35" t="s">
        <v>582</v>
      </c>
      <c r="L257" s="36">
        <v>12</v>
      </c>
      <c r="M257" s="36" t="s">
        <v>57</v>
      </c>
      <c r="N257" s="38">
        <v>0</v>
      </c>
      <c r="O257" s="36" t="s">
        <v>40</v>
      </c>
      <c r="P257" s="36"/>
      <c r="Q257" s="35" t="s">
        <v>582</v>
      </c>
      <c r="R257" s="125">
        <v>1</v>
      </c>
      <c r="S257" s="16">
        <v>18867.924528301886</v>
      </c>
      <c r="T257" s="16">
        <v>4716.9811320754716</v>
      </c>
      <c r="U257" s="39">
        <v>0</v>
      </c>
      <c r="V257" s="40">
        <v>0</v>
      </c>
      <c r="W257" s="39">
        <v>0</v>
      </c>
      <c r="X257" s="39">
        <v>0</v>
      </c>
      <c r="Y257" s="39">
        <v>0</v>
      </c>
      <c r="Z257" s="39">
        <v>0</v>
      </c>
      <c r="AA257" s="39">
        <v>0</v>
      </c>
      <c r="AB257" s="163">
        <v>0</v>
      </c>
      <c r="AC257" s="163">
        <v>0</v>
      </c>
    </row>
    <row r="258" spans="1:29" ht="16.5" x14ac:dyDescent="0.15">
      <c r="A258" s="35" t="s">
        <v>36</v>
      </c>
      <c r="B258" s="35" t="s">
        <v>585</v>
      </c>
      <c r="C258" s="36"/>
      <c r="D258" s="35" t="s">
        <v>36</v>
      </c>
      <c r="E258" s="14" t="s">
        <v>619</v>
      </c>
      <c r="F258" s="16">
        <v>20000</v>
      </c>
      <c r="G258" s="16">
        <v>18867.924528301886</v>
      </c>
      <c r="H258" s="37">
        <v>0.25</v>
      </c>
      <c r="I258" s="16">
        <v>4716.9811320754716</v>
      </c>
      <c r="J258" s="15"/>
      <c r="K258" s="35" t="s">
        <v>582</v>
      </c>
      <c r="L258" s="36">
        <v>12</v>
      </c>
      <c r="M258" s="36" t="s">
        <v>57</v>
      </c>
      <c r="N258" s="38">
        <v>0</v>
      </c>
      <c r="O258" s="36" t="s">
        <v>40</v>
      </c>
      <c r="P258" s="36"/>
      <c r="Q258" s="35" t="s">
        <v>582</v>
      </c>
      <c r="R258" s="125">
        <v>1</v>
      </c>
      <c r="S258" s="16">
        <v>18867.924528301886</v>
      </c>
      <c r="T258" s="16">
        <v>4716.9811320754716</v>
      </c>
      <c r="U258" s="39">
        <v>0</v>
      </c>
      <c r="V258" s="40">
        <v>0</v>
      </c>
      <c r="W258" s="39">
        <v>0</v>
      </c>
      <c r="X258" s="39">
        <v>0</v>
      </c>
      <c r="Y258" s="39">
        <v>0</v>
      </c>
      <c r="Z258" s="39">
        <v>0</v>
      </c>
      <c r="AA258" s="39">
        <v>0</v>
      </c>
      <c r="AB258" s="163">
        <v>0</v>
      </c>
      <c r="AC258" s="163">
        <v>0</v>
      </c>
    </row>
    <row r="259" spans="1:29" ht="16.5" x14ac:dyDescent="0.15">
      <c r="A259" s="35" t="s">
        <v>71</v>
      </c>
      <c r="B259" s="35" t="s">
        <v>585</v>
      </c>
      <c r="C259" s="36"/>
      <c r="D259" s="35" t="s">
        <v>7</v>
      </c>
      <c r="E259" s="14" t="s">
        <v>621</v>
      </c>
      <c r="F259" s="16">
        <v>57100</v>
      </c>
      <c r="G259" s="16">
        <v>48803.418803418805</v>
      </c>
      <c r="H259" s="37">
        <v>9.7513134851138356E-2</v>
      </c>
      <c r="I259" s="16">
        <v>4758.9743589743593</v>
      </c>
      <c r="J259" s="15"/>
      <c r="K259" s="35" t="s">
        <v>584</v>
      </c>
      <c r="L259" s="36">
        <v>12</v>
      </c>
      <c r="M259" s="36" t="s">
        <v>57</v>
      </c>
      <c r="N259" s="38">
        <v>0</v>
      </c>
      <c r="O259" s="36" t="s">
        <v>74</v>
      </c>
      <c r="P259" s="36"/>
      <c r="Q259" s="35" t="s">
        <v>584</v>
      </c>
      <c r="R259" s="125">
        <v>1</v>
      </c>
      <c r="S259" s="16">
        <v>48803.418803418805</v>
      </c>
      <c r="T259" s="16">
        <v>4758.9743589743593</v>
      </c>
      <c r="U259" s="39">
        <v>0</v>
      </c>
      <c r="V259" s="40">
        <v>0</v>
      </c>
      <c r="W259" s="39">
        <v>0</v>
      </c>
      <c r="X259" s="39">
        <v>0</v>
      </c>
      <c r="Y259" s="39">
        <v>0</v>
      </c>
      <c r="Z259" s="39">
        <v>0</v>
      </c>
      <c r="AA259" s="39">
        <v>0</v>
      </c>
      <c r="AB259" s="163">
        <v>0</v>
      </c>
      <c r="AC259" s="163">
        <v>0</v>
      </c>
    </row>
    <row r="260" spans="1:29" ht="16.5" x14ac:dyDescent="0.15">
      <c r="A260" s="35" t="s">
        <v>36</v>
      </c>
      <c r="B260" s="35" t="s">
        <v>585</v>
      </c>
      <c r="C260" s="36"/>
      <c r="D260" s="35" t="s">
        <v>36</v>
      </c>
      <c r="E260" s="14" t="s">
        <v>619</v>
      </c>
      <c r="F260" s="16">
        <v>20000</v>
      </c>
      <c r="G260" s="16">
        <v>18867.924528301886</v>
      </c>
      <c r="H260" s="37">
        <v>0.25</v>
      </c>
      <c r="I260" s="16">
        <v>4716.9811320754716</v>
      </c>
      <c r="J260" s="15"/>
      <c r="K260" s="35" t="s">
        <v>582</v>
      </c>
      <c r="L260" s="36">
        <v>12</v>
      </c>
      <c r="M260" s="36" t="s">
        <v>57</v>
      </c>
      <c r="N260" s="38">
        <v>0</v>
      </c>
      <c r="O260" s="36" t="s">
        <v>40</v>
      </c>
      <c r="P260" s="36"/>
      <c r="Q260" s="35" t="s">
        <v>582</v>
      </c>
      <c r="R260" s="125">
        <v>1</v>
      </c>
      <c r="S260" s="16">
        <v>18867.924528301886</v>
      </c>
      <c r="T260" s="16">
        <v>4716.9811320754716</v>
      </c>
      <c r="U260" s="39">
        <v>0</v>
      </c>
      <c r="V260" s="40">
        <v>0</v>
      </c>
      <c r="W260" s="39">
        <v>0</v>
      </c>
      <c r="X260" s="39">
        <v>0</v>
      </c>
      <c r="Y260" s="39">
        <v>0</v>
      </c>
      <c r="Z260" s="39">
        <v>0</v>
      </c>
      <c r="AA260" s="39">
        <v>0</v>
      </c>
      <c r="AB260" s="163">
        <v>0</v>
      </c>
      <c r="AC260" s="163">
        <v>0</v>
      </c>
    </row>
    <row r="261" spans="1:29" ht="16.5" x14ac:dyDescent="0.15">
      <c r="A261" s="35" t="s">
        <v>36</v>
      </c>
      <c r="B261" s="35" t="s">
        <v>585</v>
      </c>
      <c r="C261" s="36"/>
      <c r="D261" s="35" t="s">
        <v>36</v>
      </c>
      <c r="E261" s="14" t="s">
        <v>622</v>
      </c>
      <c r="F261" s="16">
        <v>1095000</v>
      </c>
      <c r="G261" s="16">
        <v>1033018.8679245282</v>
      </c>
      <c r="H261" s="37">
        <v>0.58799999999999997</v>
      </c>
      <c r="I261" s="16">
        <v>607415.09433962253</v>
      </c>
      <c r="J261" s="15"/>
      <c r="K261" s="35" t="s">
        <v>587</v>
      </c>
      <c r="L261" s="36">
        <v>12</v>
      </c>
      <c r="M261" s="36" t="s">
        <v>57</v>
      </c>
      <c r="N261" s="38">
        <v>0</v>
      </c>
      <c r="O261" s="36" t="s">
        <v>40</v>
      </c>
      <c r="P261" s="36"/>
      <c r="Q261" s="35" t="s">
        <v>587</v>
      </c>
      <c r="R261" s="125">
        <v>1</v>
      </c>
      <c r="S261" s="16">
        <v>1033018.8679245282</v>
      </c>
      <c r="T261" s="16">
        <v>607415.09433962253</v>
      </c>
      <c r="U261" s="39">
        <v>0</v>
      </c>
      <c r="V261" s="40">
        <v>0</v>
      </c>
      <c r="W261" s="39">
        <v>0</v>
      </c>
      <c r="X261" s="39">
        <v>0</v>
      </c>
      <c r="Y261" s="39">
        <v>0</v>
      </c>
      <c r="Z261" s="39">
        <v>0</v>
      </c>
      <c r="AA261" s="39">
        <v>0</v>
      </c>
      <c r="AB261" s="163">
        <v>0</v>
      </c>
      <c r="AC261" s="163">
        <v>0</v>
      </c>
    </row>
    <row r="262" spans="1:29" ht="16.5" x14ac:dyDescent="0.15">
      <c r="A262" s="35" t="s">
        <v>36</v>
      </c>
      <c r="B262" s="35" t="s">
        <v>585</v>
      </c>
      <c r="C262" s="36"/>
      <c r="D262" s="35" t="s">
        <v>36</v>
      </c>
      <c r="E262" s="14" t="s">
        <v>623</v>
      </c>
      <c r="F262" s="16">
        <v>1140000</v>
      </c>
      <c r="G262" s="16">
        <v>1075471.6981132075</v>
      </c>
      <c r="H262" s="37">
        <v>0.6</v>
      </c>
      <c r="I262" s="16">
        <v>645283.01886792446</v>
      </c>
      <c r="J262" s="15"/>
      <c r="K262" s="35" t="s">
        <v>587</v>
      </c>
      <c r="L262" s="36">
        <v>12</v>
      </c>
      <c r="M262" s="36" t="s">
        <v>57</v>
      </c>
      <c r="N262" s="38">
        <v>0</v>
      </c>
      <c r="O262" s="36" t="s">
        <v>40</v>
      </c>
      <c r="P262" s="36"/>
      <c r="Q262" s="35" t="s">
        <v>587</v>
      </c>
      <c r="R262" s="125">
        <v>1</v>
      </c>
      <c r="S262" s="16">
        <v>1075471.6981132075</v>
      </c>
      <c r="T262" s="16">
        <v>645283.01886792446</v>
      </c>
      <c r="U262" s="39">
        <v>0</v>
      </c>
      <c r="V262" s="40">
        <v>0</v>
      </c>
      <c r="W262" s="39">
        <v>0</v>
      </c>
      <c r="X262" s="39">
        <v>0</v>
      </c>
      <c r="Y262" s="39">
        <v>0</v>
      </c>
      <c r="Z262" s="39">
        <v>0</v>
      </c>
      <c r="AA262" s="39">
        <v>0</v>
      </c>
      <c r="AB262" s="163">
        <v>0</v>
      </c>
      <c r="AC262" s="163">
        <v>0</v>
      </c>
    </row>
    <row r="263" spans="1:29" ht="16.5" x14ac:dyDescent="0.15">
      <c r="A263" s="35" t="s">
        <v>36</v>
      </c>
      <c r="B263" s="35" t="s">
        <v>585</v>
      </c>
      <c r="C263" s="36"/>
      <c r="D263" s="35" t="s">
        <v>36</v>
      </c>
      <c r="E263" s="14" t="s">
        <v>624</v>
      </c>
      <c r="F263" s="16">
        <v>1010000</v>
      </c>
      <c r="G263" s="16">
        <v>952830.18867924518</v>
      </c>
      <c r="H263" s="37">
        <v>0.56820000000000004</v>
      </c>
      <c r="I263" s="16">
        <v>541398.11320754711</v>
      </c>
      <c r="J263" s="15"/>
      <c r="K263" s="35" t="s">
        <v>587</v>
      </c>
      <c r="L263" s="36">
        <v>12</v>
      </c>
      <c r="M263" s="36" t="s">
        <v>57</v>
      </c>
      <c r="N263" s="38">
        <v>0</v>
      </c>
      <c r="O263" s="36" t="s">
        <v>40</v>
      </c>
      <c r="P263" s="36"/>
      <c r="Q263" s="35" t="s">
        <v>587</v>
      </c>
      <c r="R263" s="125">
        <v>1</v>
      </c>
      <c r="S263" s="16">
        <v>952830.18867924518</v>
      </c>
      <c r="T263" s="16">
        <v>541398.11320754711</v>
      </c>
      <c r="U263" s="39">
        <v>0</v>
      </c>
      <c r="V263" s="40">
        <v>0</v>
      </c>
      <c r="W263" s="39">
        <v>0</v>
      </c>
      <c r="X263" s="39">
        <v>0</v>
      </c>
      <c r="Y263" s="39">
        <v>0</v>
      </c>
      <c r="Z263" s="39">
        <v>0</v>
      </c>
      <c r="AA263" s="39">
        <v>0</v>
      </c>
      <c r="AB263" s="163">
        <v>0</v>
      </c>
      <c r="AC263" s="163">
        <v>0</v>
      </c>
    </row>
    <row r="264" spans="1:29" ht="16.5" x14ac:dyDescent="0.15">
      <c r="A264" s="35" t="s">
        <v>36</v>
      </c>
      <c r="B264" s="35" t="s">
        <v>585</v>
      </c>
      <c r="C264" s="36"/>
      <c r="D264" s="35" t="s">
        <v>36</v>
      </c>
      <c r="E264" s="14" t="s">
        <v>590</v>
      </c>
      <c r="F264" s="16">
        <v>224350</v>
      </c>
      <c r="G264" s="16">
        <v>211650.94339622642</v>
      </c>
      <c r="H264" s="37">
        <v>0.70000000000000007</v>
      </c>
      <c r="I264" s="16">
        <v>148155.66037735849</v>
      </c>
      <c r="J264" s="15"/>
      <c r="K264" s="35" t="s">
        <v>587</v>
      </c>
      <c r="L264" s="36">
        <v>12</v>
      </c>
      <c r="M264" s="36" t="s">
        <v>57</v>
      </c>
      <c r="N264" s="38">
        <v>0</v>
      </c>
      <c r="O264" s="36" t="s">
        <v>40</v>
      </c>
      <c r="P264" s="36"/>
      <c r="Q264" s="35" t="s">
        <v>587</v>
      </c>
      <c r="R264" s="125">
        <v>1</v>
      </c>
      <c r="S264" s="16">
        <v>211650.94339622642</v>
      </c>
      <c r="T264" s="16">
        <v>148155.66037735849</v>
      </c>
      <c r="U264" s="39">
        <v>0</v>
      </c>
      <c r="V264" s="40">
        <v>0</v>
      </c>
      <c r="W264" s="39">
        <v>0</v>
      </c>
      <c r="X264" s="39">
        <v>0</v>
      </c>
      <c r="Y264" s="39">
        <v>0</v>
      </c>
      <c r="Z264" s="39">
        <v>0</v>
      </c>
      <c r="AA264" s="39">
        <v>0</v>
      </c>
      <c r="AB264" s="163">
        <v>0</v>
      </c>
      <c r="AC264" s="163" t="s">
        <v>35</v>
      </c>
    </row>
    <row r="265" spans="1:29" ht="16.5" x14ac:dyDescent="0.15">
      <c r="A265" s="35" t="s">
        <v>36</v>
      </c>
      <c r="B265" s="35" t="s">
        <v>585</v>
      </c>
      <c r="C265" s="36"/>
      <c r="D265" s="35" t="s">
        <v>36</v>
      </c>
      <c r="E265" s="14" t="s">
        <v>590</v>
      </c>
      <c r="F265" s="16">
        <v>181510</v>
      </c>
      <c r="G265" s="16">
        <v>155136.75213675215</v>
      </c>
      <c r="H265" s="37">
        <v>0.1</v>
      </c>
      <c r="I265" s="16">
        <v>15513.675213675217</v>
      </c>
      <c r="J265" s="15"/>
      <c r="K265" s="35" t="s">
        <v>587</v>
      </c>
      <c r="L265" s="36">
        <v>12</v>
      </c>
      <c r="M265" s="36" t="s">
        <v>57</v>
      </c>
      <c r="N265" s="38">
        <v>0</v>
      </c>
      <c r="O265" s="36" t="s">
        <v>40</v>
      </c>
      <c r="P265" s="36"/>
      <c r="Q265" s="35" t="s">
        <v>587</v>
      </c>
      <c r="R265" s="125">
        <v>1</v>
      </c>
      <c r="S265" s="16">
        <v>155136.75213675215</v>
      </c>
      <c r="T265" s="16">
        <v>15513.675213675217</v>
      </c>
      <c r="U265" s="39">
        <v>0</v>
      </c>
      <c r="V265" s="40">
        <v>0</v>
      </c>
      <c r="W265" s="39">
        <v>0</v>
      </c>
      <c r="X265" s="39">
        <v>0</v>
      </c>
      <c r="Y265" s="39">
        <v>0</v>
      </c>
      <c r="Z265" s="39">
        <v>0</v>
      </c>
      <c r="AA265" s="39">
        <v>0</v>
      </c>
      <c r="AB265" s="163">
        <v>0</v>
      </c>
      <c r="AC265" s="163" t="s">
        <v>35</v>
      </c>
    </row>
    <row r="266" spans="1:29" ht="16.5" x14ac:dyDescent="0.15">
      <c r="A266" s="35" t="s">
        <v>36</v>
      </c>
      <c r="B266" s="35" t="s">
        <v>585</v>
      </c>
      <c r="C266" s="36"/>
      <c r="D266" s="35" t="s">
        <v>36</v>
      </c>
      <c r="E266" s="14" t="s">
        <v>619</v>
      </c>
      <c r="F266" s="16">
        <v>20000</v>
      </c>
      <c r="G266" s="16">
        <v>18867.924528301886</v>
      </c>
      <c r="H266" s="37">
        <v>0.25</v>
      </c>
      <c r="I266" s="16">
        <v>4716.9811320754716</v>
      </c>
      <c r="J266" s="15"/>
      <c r="K266" s="35" t="s">
        <v>582</v>
      </c>
      <c r="L266" s="36">
        <v>12</v>
      </c>
      <c r="M266" s="36" t="s">
        <v>57</v>
      </c>
      <c r="N266" s="38">
        <v>0</v>
      </c>
      <c r="O266" s="36" t="s">
        <v>40</v>
      </c>
      <c r="P266" s="36"/>
      <c r="Q266" s="35" t="s">
        <v>582</v>
      </c>
      <c r="R266" s="125">
        <v>1</v>
      </c>
      <c r="S266" s="16">
        <v>18867.924528301886</v>
      </c>
      <c r="T266" s="16">
        <v>4716.9811320754716</v>
      </c>
      <c r="U266" s="39">
        <v>0</v>
      </c>
      <c r="V266" s="40">
        <v>0</v>
      </c>
      <c r="W266" s="39">
        <v>0</v>
      </c>
      <c r="X266" s="39">
        <v>0</v>
      </c>
      <c r="Y266" s="39">
        <v>0</v>
      </c>
      <c r="Z266" s="39">
        <v>0</v>
      </c>
      <c r="AA266" s="39">
        <v>0</v>
      </c>
      <c r="AB266" s="163">
        <v>0</v>
      </c>
      <c r="AC266" s="163">
        <v>0</v>
      </c>
    </row>
    <row r="267" spans="1:29" ht="16.5" x14ac:dyDescent="0.15">
      <c r="A267" s="35" t="s">
        <v>36</v>
      </c>
      <c r="B267" s="35" t="s">
        <v>585</v>
      </c>
      <c r="C267" s="36"/>
      <c r="D267" s="35" t="s">
        <v>36</v>
      </c>
      <c r="E267" s="14" t="s">
        <v>596</v>
      </c>
      <c r="F267" s="16">
        <v>63500</v>
      </c>
      <c r="G267" s="16">
        <v>54273.504273504273</v>
      </c>
      <c r="H267" s="37">
        <v>0.25979999999999998</v>
      </c>
      <c r="I267" s="16">
        <v>14100.256410256408</v>
      </c>
      <c r="J267" s="15"/>
      <c r="K267" s="35" t="s">
        <v>582</v>
      </c>
      <c r="L267" s="36">
        <v>12</v>
      </c>
      <c r="M267" s="36" t="s">
        <v>57</v>
      </c>
      <c r="N267" s="38">
        <v>0</v>
      </c>
      <c r="O267" s="36" t="s">
        <v>40</v>
      </c>
      <c r="P267" s="36"/>
      <c r="Q267" s="35" t="s">
        <v>582</v>
      </c>
      <c r="R267" s="125">
        <v>1</v>
      </c>
      <c r="S267" s="16">
        <v>54273.504273504273</v>
      </c>
      <c r="T267" s="16">
        <v>14100.256410256408</v>
      </c>
      <c r="U267" s="39">
        <v>0</v>
      </c>
      <c r="V267" s="40">
        <v>0</v>
      </c>
      <c r="W267" s="39">
        <v>0</v>
      </c>
      <c r="X267" s="39">
        <v>0</v>
      </c>
      <c r="Y267" s="39">
        <v>0</v>
      </c>
      <c r="Z267" s="39">
        <v>0</v>
      </c>
      <c r="AA267" s="39">
        <v>0</v>
      </c>
      <c r="AB267" s="163">
        <v>0</v>
      </c>
      <c r="AC267" s="163" t="s">
        <v>32</v>
      </c>
    </row>
    <row r="268" spans="1:29" ht="16.5" x14ac:dyDescent="0.15">
      <c r="A268" s="35" t="s">
        <v>36</v>
      </c>
      <c r="B268" s="35" t="s">
        <v>585</v>
      </c>
      <c r="C268" s="36"/>
      <c r="D268" s="35" t="s">
        <v>36</v>
      </c>
      <c r="E268" s="14" t="s">
        <v>598</v>
      </c>
      <c r="F268" s="16">
        <v>60325</v>
      </c>
      <c r="G268" s="16">
        <v>51559.829059829062</v>
      </c>
      <c r="H268" s="37">
        <v>0.22090000000000004</v>
      </c>
      <c r="I268" s="16">
        <v>11389.566239316242</v>
      </c>
      <c r="J268" s="15"/>
      <c r="K268" s="35" t="s">
        <v>582</v>
      </c>
      <c r="L268" s="36">
        <v>12</v>
      </c>
      <c r="M268" s="36" t="s">
        <v>57</v>
      </c>
      <c r="N268" s="38">
        <v>0</v>
      </c>
      <c r="O268" s="36" t="s">
        <v>40</v>
      </c>
      <c r="P268" s="36"/>
      <c r="Q268" s="35" t="s">
        <v>582</v>
      </c>
      <c r="R268" s="125">
        <v>1</v>
      </c>
      <c r="S268" s="16">
        <v>51559.829059829062</v>
      </c>
      <c r="T268" s="16">
        <v>11389.566239316242</v>
      </c>
      <c r="U268" s="39">
        <v>0</v>
      </c>
      <c r="V268" s="40">
        <v>0</v>
      </c>
      <c r="W268" s="39">
        <v>0</v>
      </c>
      <c r="X268" s="39">
        <v>0</v>
      </c>
      <c r="Y268" s="39">
        <v>0</v>
      </c>
      <c r="Z268" s="39">
        <v>0</v>
      </c>
      <c r="AA268" s="39">
        <v>0</v>
      </c>
      <c r="AB268" s="163">
        <v>0</v>
      </c>
      <c r="AC268" s="163" t="s">
        <v>32</v>
      </c>
    </row>
    <row r="269" spans="1:29" ht="16.5" x14ac:dyDescent="0.15">
      <c r="A269" s="35" t="s">
        <v>36</v>
      </c>
      <c r="B269" s="35" t="s">
        <v>585</v>
      </c>
      <c r="C269" s="36"/>
      <c r="D269" s="35" t="s">
        <v>36</v>
      </c>
      <c r="E269" s="14" t="s">
        <v>615</v>
      </c>
      <c r="F269" s="16">
        <v>192560</v>
      </c>
      <c r="G269" s="16">
        <v>181660.37735849054</v>
      </c>
      <c r="H269" s="37">
        <v>0.78510000000000002</v>
      </c>
      <c r="I269" s="16">
        <v>142621.56226415094</v>
      </c>
      <c r="J269" s="15"/>
      <c r="K269" s="35" t="s">
        <v>582</v>
      </c>
      <c r="L269" s="36">
        <v>12</v>
      </c>
      <c r="M269" s="36" t="s">
        <v>57</v>
      </c>
      <c r="N269" s="38">
        <v>0</v>
      </c>
      <c r="O269" s="36" t="s">
        <v>40</v>
      </c>
      <c r="P269" s="36"/>
      <c r="Q269" s="35" t="s">
        <v>582</v>
      </c>
      <c r="R269" s="125">
        <v>1</v>
      </c>
      <c r="S269" s="16">
        <v>181660.37735849054</v>
      </c>
      <c r="T269" s="16">
        <v>142621.56226415094</v>
      </c>
      <c r="U269" s="39">
        <v>0</v>
      </c>
      <c r="V269" s="40">
        <v>0</v>
      </c>
      <c r="W269" s="39">
        <v>0</v>
      </c>
      <c r="X269" s="39">
        <v>0</v>
      </c>
      <c r="Y269" s="39">
        <v>0</v>
      </c>
      <c r="Z269" s="39">
        <v>0</v>
      </c>
      <c r="AA269" s="39">
        <v>0</v>
      </c>
      <c r="AB269" s="163">
        <v>0</v>
      </c>
      <c r="AC269" s="163">
        <v>0</v>
      </c>
    </row>
    <row r="270" spans="1:29" ht="16.5" x14ac:dyDescent="0.15">
      <c r="A270" s="35" t="s">
        <v>36</v>
      </c>
      <c r="B270" s="35" t="s">
        <v>585</v>
      </c>
      <c r="C270" s="36"/>
      <c r="D270" s="35" t="s">
        <v>36</v>
      </c>
      <c r="E270" s="14" t="s">
        <v>613</v>
      </c>
      <c r="F270" s="16">
        <v>140000</v>
      </c>
      <c r="G270" s="16">
        <v>132075.47169811319</v>
      </c>
      <c r="H270" s="37">
        <v>0.25</v>
      </c>
      <c r="I270" s="16">
        <v>33018.867924528298</v>
      </c>
      <c r="J270" s="15"/>
      <c r="K270" s="35" t="s">
        <v>582</v>
      </c>
      <c r="L270" s="36">
        <v>12</v>
      </c>
      <c r="M270" s="36" t="s">
        <v>57</v>
      </c>
      <c r="N270" s="38">
        <v>0</v>
      </c>
      <c r="O270" s="36" t="s">
        <v>40</v>
      </c>
      <c r="P270" s="36"/>
      <c r="Q270" s="35" t="s">
        <v>582</v>
      </c>
      <c r="R270" s="125">
        <v>1</v>
      </c>
      <c r="S270" s="16">
        <v>132075.47169811319</v>
      </c>
      <c r="T270" s="16">
        <v>33018.867924528298</v>
      </c>
      <c r="U270" s="39">
        <v>0</v>
      </c>
      <c r="V270" s="40">
        <v>0</v>
      </c>
      <c r="W270" s="39">
        <v>0</v>
      </c>
      <c r="X270" s="39">
        <v>0</v>
      </c>
      <c r="Y270" s="39">
        <v>0</v>
      </c>
      <c r="Z270" s="39">
        <v>0</v>
      </c>
      <c r="AA270" s="39">
        <v>0</v>
      </c>
      <c r="AB270" s="163">
        <v>0</v>
      </c>
      <c r="AC270" s="163" t="s">
        <v>35</v>
      </c>
    </row>
    <row r="271" spans="1:29" ht="16.5" x14ac:dyDescent="0.15">
      <c r="A271" s="35" t="s">
        <v>36</v>
      </c>
      <c r="B271" s="35" t="s">
        <v>585</v>
      </c>
      <c r="C271" s="36"/>
      <c r="D271" s="35" t="s">
        <v>36</v>
      </c>
      <c r="E271" s="14" t="s">
        <v>619</v>
      </c>
      <c r="F271" s="16">
        <v>20000</v>
      </c>
      <c r="G271" s="16">
        <v>18867.924528301886</v>
      </c>
      <c r="H271" s="37">
        <v>0.25</v>
      </c>
      <c r="I271" s="16">
        <v>4716.9811320754716</v>
      </c>
      <c r="J271" s="15"/>
      <c r="K271" s="35" t="s">
        <v>582</v>
      </c>
      <c r="L271" s="36">
        <v>12</v>
      </c>
      <c r="M271" s="36" t="s">
        <v>57</v>
      </c>
      <c r="N271" s="38">
        <v>0</v>
      </c>
      <c r="O271" s="36" t="s">
        <v>40</v>
      </c>
      <c r="P271" s="36"/>
      <c r="Q271" s="35" t="s">
        <v>582</v>
      </c>
      <c r="R271" s="125">
        <v>1</v>
      </c>
      <c r="S271" s="16">
        <v>18867.924528301886</v>
      </c>
      <c r="T271" s="16">
        <v>4716.9811320754716</v>
      </c>
      <c r="U271" s="39">
        <v>0</v>
      </c>
      <c r="V271" s="40">
        <v>0</v>
      </c>
      <c r="W271" s="39">
        <v>0</v>
      </c>
      <c r="X271" s="39">
        <v>0</v>
      </c>
      <c r="Y271" s="39">
        <v>0</v>
      </c>
      <c r="Z271" s="39">
        <v>0</v>
      </c>
      <c r="AA271" s="39">
        <v>0</v>
      </c>
      <c r="AB271" s="163">
        <v>0</v>
      </c>
      <c r="AC271" s="163">
        <v>0</v>
      </c>
    </row>
    <row r="272" spans="1:29" ht="16.5" x14ac:dyDescent="0.15">
      <c r="A272" s="35" t="s">
        <v>36</v>
      </c>
      <c r="B272" s="35" t="s">
        <v>585</v>
      </c>
      <c r="C272" s="36"/>
      <c r="D272" s="35" t="s">
        <v>36</v>
      </c>
      <c r="E272" s="14" t="s">
        <v>625</v>
      </c>
      <c r="F272" s="16">
        <v>233530</v>
      </c>
      <c r="G272" s="16">
        <v>220311.32075471696</v>
      </c>
      <c r="H272" s="37">
        <v>0.24575618524000847</v>
      </c>
      <c r="I272" s="16">
        <v>54142.869753867148</v>
      </c>
      <c r="J272" s="15"/>
      <c r="K272" s="35" t="s">
        <v>587</v>
      </c>
      <c r="L272" s="36">
        <v>12</v>
      </c>
      <c r="M272" s="36" t="s">
        <v>57</v>
      </c>
      <c r="N272" s="38">
        <v>0</v>
      </c>
      <c r="O272" s="36" t="s">
        <v>40</v>
      </c>
      <c r="P272" s="36"/>
      <c r="Q272" s="35" t="s">
        <v>587</v>
      </c>
      <c r="R272" s="125">
        <v>1</v>
      </c>
      <c r="S272" s="16">
        <v>220311.32075471696</v>
      </c>
      <c r="T272" s="16">
        <v>54142.869753867148</v>
      </c>
      <c r="U272" s="39">
        <v>0</v>
      </c>
      <c r="V272" s="40">
        <v>0</v>
      </c>
      <c r="W272" s="39">
        <v>0</v>
      </c>
      <c r="X272" s="39">
        <v>0</v>
      </c>
      <c r="Y272" s="39">
        <v>0</v>
      </c>
      <c r="Z272" s="39">
        <v>0</v>
      </c>
      <c r="AA272" s="39">
        <v>0</v>
      </c>
      <c r="AB272" s="163">
        <v>0</v>
      </c>
      <c r="AC272" s="163">
        <v>0</v>
      </c>
    </row>
    <row r="273" spans="1:29" ht="16.5" x14ac:dyDescent="0.15">
      <c r="A273" s="35" t="s">
        <v>36</v>
      </c>
      <c r="B273" s="35" t="s">
        <v>585</v>
      </c>
      <c r="C273" s="36"/>
      <c r="D273" s="35" t="s">
        <v>36</v>
      </c>
      <c r="E273" s="14" t="s">
        <v>626</v>
      </c>
      <c r="F273" s="16">
        <v>95210</v>
      </c>
      <c r="G273" s="16">
        <v>81376.068376068375</v>
      </c>
      <c r="H273" s="37">
        <v>0.05</v>
      </c>
      <c r="I273" s="16">
        <v>4068.8034188034189</v>
      </c>
      <c r="J273" s="15"/>
      <c r="K273" s="35" t="s">
        <v>587</v>
      </c>
      <c r="L273" s="36">
        <v>12</v>
      </c>
      <c r="M273" s="36" t="s">
        <v>57</v>
      </c>
      <c r="N273" s="38">
        <v>0</v>
      </c>
      <c r="O273" s="36" t="s">
        <v>40</v>
      </c>
      <c r="P273" s="36"/>
      <c r="Q273" s="35" t="s">
        <v>587</v>
      </c>
      <c r="R273" s="125">
        <v>1</v>
      </c>
      <c r="S273" s="16">
        <v>81376.068376068375</v>
      </c>
      <c r="T273" s="16">
        <v>4068.8034188034189</v>
      </c>
      <c r="U273" s="39">
        <v>0</v>
      </c>
      <c r="V273" s="40">
        <v>0</v>
      </c>
      <c r="W273" s="39">
        <v>0</v>
      </c>
      <c r="X273" s="39">
        <v>0</v>
      </c>
      <c r="Y273" s="39">
        <v>0</v>
      </c>
      <c r="Z273" s="39">
        <v>0</v>
      </c>
      <c r="AA273" s="39">
        <v>0</v>
      </c>
      <c r="AB273" s="163">
        <v>0</v>
      </c>
      <c r="AC273" s="163">
        <v>0</v>
      </c>
    </row>
    <row r="274" spans="1:29" ht="16.5" x14ac:dyDescent="0.15">
      <c r="A274" s="35" t="s">
        <v>36</v>
      </c>
      <c r="B274" s="35" t="s">
        <v>585</v>
      </c>
      <c r="C274" s="36"/>
      <c r="D274" s="35" t="s">
        <v>36</v>
      </c>
      <c r="E274" s="14" t="s">
        <v>588</v>
      </c>
      <c r="F274" s="16">
        <v>58900</v>
      </c>
      <c r="G274" s="16">
        <v>50341.880341880344</v>
      </c>
      <c r="H274" s="37">
        <v>0.24190000000000003</v>
      </c>
      <c r="I274" s="16">
        <v>12177.700854700857</v>
      </c>
      <c r="J274" s="15"/>
      <c r="K274" s="35" t="s">
        <v>587</v>
      </c>
      <c r="L274" s="36">
        <v>12</v>
      </c>
      <c r="M274" s="36" t="s">
        <v>57</v>
      </c>
      <c r="N274" s="38">
        <v>0</v>
      </c>
      <c r="O274" s="36" t="s">
        <v>40</v>
      </c>
      <c r="P274" s="36"/>
      <c r="Q274" s="35" t="s">
        <v>587</v>
      </c>
      <c r="R274" s="125">
        <v>1</v>
      </c>
      <c r="S274" s="16">
        <v>50341.880341880344</v>
      </c>
      <c r="T274" s="16">
        <v>12177.700854700857</v>
      </c>
      <c r="U274" s="39">
        <v>0</v>
      </c>
      <c r="V274" s="40">
        <v>0</v>
      </c>
      <c r="W274" s="39">
        <v>0</v>
      </c>
      <c r="X274" s="39">
        <v>0</v>
      </c>
      <c r="Y274" s="39">
        <v>0</v>
      </c>
      <c r="Z274" s="39">
        <v>0</v>
      </c>
      <c r="AA274" s="39">
        <v>0</v>
      </c>
      <c r="AB274" s="163">
        <v>0</v>
      </c>
      <c r="AC274" s="163" t="s">
        <v>32</v>
      </c>
    </row>
    <row r="275" spans="1:29" ht="16.5" x14ac:dyDescent="0.15">
      <c r="A275" s="35" t="s">
        <v>36</v>
      </c>
      <c r="B275" s="35" t="s">
        <v>585</v>
      </c>
      <c r="C275" s="36"/>
      <c r="D275" s="35" t="s">
        <v>36</v>
      </c>
      <c r="E275" s="14" t="s">
        <v>627</v>
      </c>
      <c r="F275" s="16">
        <v>196200</v>
      </c>
      <c r="G275" s="16">
        <v>185094.33962264151</v>
      </c>
      <c r="H275" s="37">
        <v>0.68500000000000005</v>
      </c>
      <c r="I275" s="16">
        <v>126789.62264150944</v>
      </c>
      <c r="J275" s="15"/>
      <c r="K275" s="35" t="s">
        <v>587</v>
      </c>
      <c r="L275" s="36">
        <v>12</v>
      </c>
      <c r="M275" s="36" t="s">
        <v>57</v>
      </c>
      <c r="N275" s="38">
        <v>0</v>
      </c>
      <c r="O275" s="36" t="s">
        <v>40</v>
      </c>
      <c r="P275" s="36"/>
      <c r="Q275" s="35" t="s">
        <v>587</v>
      </c>
      <c r="R275" s="125">
        <v>1</v>
      </c>
      <c r="S275" s="16">
        <v>185094.33962264151</v>
      </c>
      <c r="T275" s="16">
        <v>126789.62264150944</v>
      </c>
      <c r="U275" s="39">
        <v>0</v>
      </c>
      <c r="V275" s="40">
        <v>0</v>
      </c>
      <c r="W275" s="39">
        <v>0</v>
      </c>
      <c r="X275" s="39">
        <v>0</v>
      </c>
      <c r="Y275" s="39">
        <v>0</v>
      </c>
      <c r="Z275" s="39">
        <v>0</v>
      </c>
      <c r="AA275" s="39">
        <v>0</v>
      </c>
      <c r="AB275" s="163">
        <v>0</v>
      </c>
      <c r="AC275" s="163">
        <v>0</v>
      </c>
    </row>
    <row r="276" spans="1:29" ht="16.5" x14ac:dyDescent="0.15">
      <c r="A276" s="35" t="s">
        <v>36</v>
      </c>
      <c r="B276" s="35" t="s">
        <v>585</v>
      </c>
      <c r="C276" s="36"/>
      <c r="D276" s="35" t="s">
        <v>36</v>
      </c>
      <c r="E276" s="14" t="s">
        <v>619</v>
      </c>
      <c r="F276" s="16">
        <v>20000</v>
      </c>
      <c r="G276" s="16">
        <v>18867.924528301886</v>
      </c>
      <c r="H276" s="37">
        <v>0.25</v>
      </c>
      <c r="I276" s="16">
        <v>4716.9811320754716</v>
      </c>
      <c r="J276" s="15"/>
      <c r="K276" s="35" t="s">
        <v>582</v>
      </c>
      <c r="L276" s="36">
        <v>12</v>
      </c>
      <c r="M276" s="36" t="s">
        <v>57</v>
      </c>
      <c r="N276" s="38">
        <v>0</v>
      </c>
      <c r="O276" s="36" t="s">
        <v>40</v>
      </c>
      <c r="P276" s="36"/>
      <c r="Q276" s="35" t="s">
        <v>582</v>
      </c>
      <c r="R276" s="125">
        <v>1</v>
      </c>
      <c r="S276" s="16">
        <v>18867.924528301886</v>
      </c>
      <c r="T276" s="16">
        <v>4716.9811320754716</v>
      </c>
      <c r="U276" s="39">
        <v>0</v>
      </c>
      <c r="V276" s="40">
        <v>0</v>
      </c>
      <c r="W276" s="39">
        <v>0</v>
      </c>
      <c r="X276" s="39">
        <v>0</v>
      </c>
      <c r="Y276" s="39">
        <v>0</v>
      </c>
      <c r="Z276" s="39">
        <v>0</v>
      </c>
      <c r="AA276" s="39">
        <v>0</v>
      </c>
      <c r="AB276" s="163">
        <v>0</v>
      </c>
      <c r="AC276" s="163">
        <v>0</v>
      </c>
    </row>
    <row r="277" spans="1:29" ht="16.5" x14ac:dyDescent="0.15">
      <c r="A277" s="35" t="s">
        <v>36</v>
      </c>
      <c r="B277" s="35" t="s">
        <v>585</v>
      </c>
      <c r="C277" s="36"/>
      <c r="D277" s="35" t="s">
        <v>36</v>
      </c>
      <c r="E277" s="14" t="s">
        <v>628</v>
      </c>
      <c r="F277" s="16">
        <v>172800</v>
      </c>
      <c r="G277" s="16">
        <v>163018.86792452828</v>
      </c>
      <c r="H277" s="37">
        <v>0.8851</v>
      </c>
      <c r="I277" s="16">
        <v>144287.99999999997</v>
      </c>
      <c r="J277" s="15"/>
      <c r="K277" s="35" t="s">
        <v>582</v>
      </c>
      <c r="L277" s="36">
        <v>12</v>
      </c>
      <c r="M277" s="36" t="s">
        <v>57</v>
      </c>
      <c r="N277" s="38">
        <v>0</v>
      </c>
      <c r="O277" s="36" t="s">
        <v>40</v>
      </c>
      <c r="P277" s="36"/>
      <c r="Q277" s="35" t="s">
        <v>582</v>
      </c>
      <c r="R277" s="125">
        <v>1</v>
      </c>
      <c r="S277" s="16">
        <v>163018.86792452828</v>
      </c>
      <c r="T277" s="16">
        <v>144287.99999999997</v>
      </c>
      <c r="U277" s="39">
        <v>0</v>
      </c>
      <c r="V277" s="40">
        <v>0</v>
      </c>
      <c r="W277" s="39">
        <v>0</v>
      </c>
      <c r="X277" s="39">
        <v>0</v>
      </c>
      <c r="Y277" s="39">
        <v>0</v>
      </c>
      <c r="Z277" s="39">
        <v>0</v>
      </c>
      <c r="AA277" s="39">
        <v>0</v>
      </c>
      <c r="AB277" s="163">
        <v>0</v>
      </c>
      <c r="AC277" s="163">
        <v>0</v>
      </c>
    </row>
    <row r="278" spans="1:29" ht="16.5" x14ac:dyDescent="0.15">
      <c r="A278" s="35" t="s">
        <v>36</v>
      </c>
      <c r="B278" s="35" t="s">
        <v>585</v>
      </c>
      <c r="C278" s="36"/>
      <c r="D278" s="35" t="s">
        <v>36</v>
      </c>
      <c r="E278" s="14" t="s">
        <v>619</v>
      </c>
      <c r="F278" s="16">
        <v>20000</v>
      </c>
      <c r="G278" s="16">
        <v>18867.924528301886</v>
      </c>
      <c r="H278" s="37">
        <v>0.25</v>
      </c>
      <c r="I278" s="16">
        <v>4716.9811320754716</v>
      </c>
      <c r="J278" s="15"/>
      <c r="K278" s="35" t="s">
        <v>582</v>
      </c>
      <c r="L278" s="36">
        <v>12</v>
      </c>
      <c r="M278" s="36" t="s">
        <v>57</v>
      </c>
      <c r="N278" s="38">
        <v>0</v>
      </c>
      <c r="O278" s="36" t="s">
        <v>40</v>
      </c>
      <c r="P278" s="36"/>
      <c r="Q278" s="35" t="s">
        <v>582</v>
      </c>
      <c r="R278" s="125">
        <v>1</v>
      </c>
      <c r="S278" s="16">
        <v>18867.924528301886</v>
      </c>
      <c r="T278" s="16">
        <v>4716.9811320754716</v>
      </c>
      <c r="U278" s="39">
        <v>0</v>
      </c>
      <c r="V278" s="40">
        <v>0</v>
      </c>
      <c r="W278" s="39">
        <v>0</v>
      </c>
      <c r="X278" s="39">
        <v>0</v>
      </c>
      <c r="Y278" s="39">
        <v>0</v>
      </c>
      <c r="Z278" s="39">
        <v>0</v>
      </c>
      <c r="AA278" s="39">
        <v>0</v>
      </c>
      <c r="AB278" s="163">
        <v>0</v>
      </c>
      <c r="AC278" s="163">
        <v>0</v>
      </c>
    </row>
    <row r="279" spans="1:29" ht="16.5" x14ac:dyDescent="0.15">
      <c r="A279" s="35" t="s">
        <v>36</v>
      </c>
      <c r="B279" s="35" t="s">
        <v>585</v>
      </c>
      <c r="C279" s="36"/>
      <c r="D279" s="35" t="s">
        <v>36</v>
      </c>
      <c r="E279" s="14" t="s">
        <v>619</v>
      </c>
      <c r="F279" s="16">
        <v>20000</v>
      </c>
      <c r="G279" s="16">
        <v>18867.924528301886</v>
      </c>
      <c r="H279" s="37">
        <v>0.25</v>
      </c>
      <c r="I279" s="16">
        <v>4716.9811320754716</v>
      </c>
      <c r="J279" s="15"/>
      <c r="K279" s="35" t="s">
        <v>582</v>
      </c>
      <c r="L279" s="36">
        <v>12</v>
      </c>
      <c r="M279" s="36" t="s">
        <v>57</v>
      </c>
      <c r="N279" s="38">
        <v>0</v>
      </c>
      <c r="O279" s="36" t="s">
        <v>40</v>
      </c>
      <c r="P279" s="36"/>
      <c r="Q279" s="35" t="s">
        <v>582</v>
      </c>
      <c r="R279" s="125">
        <v>1</v>
      </c>
      <c r="S279" s="16">
        <v>18867.924528301886</v>
      </c>
      <c r="T279" s="16">
        <v>4716.9811320754716</v>
      </c>
      <c r="U279" s="39">
        <v>0</v>
      </c>
      <c r="V279" s="40">
        <v>0</v>
      </c>
      <c r="W279" s="39">
        <v>0</v>
      </c>
      <c r="X279" s="39">
        <v>0</v>
      </c>
      <c r="Y279" s="39">
        <v>0</v>
      </c>
      <c r="Z279" s="39">
        <v>0</v>
      </c>
      <c r="AA279" s="39">
        <v>0</v>
      </c>
      <c r="AB279" s="163">
        <v>0</v>
      </c>
      <c r="AC279" s="163">
        <v>0</v>
      </c>
    </row>
    <row r="280" spans="1:29" ht="16.5" x14ac:dyDescent="0.15">
      <c r="A280" s="35" t="s">
        <v>36</v>
      </c>
      <c r="B280" s="35" t="s">
        <v>585</v>
      </c>
      <c r="C280" s="36"/>
      <c r="D280" s="35" t="s">
        <v>36</v>
      </c>
      <c r="E280" s="14" t="s">
        <v>611</v>
      </c>
      <c r="F280" s="16">
        <v>112000</v>
      </c>
      <c r="G280" s="16">
        <v>105660.37735849056</v>
      </c>
      <c r="H280" s="37">
        <v>0.70000000000000007</v>
      </c>
      <c r="I280" s="16">
        <v>73962.264150943403</v>
      </c>
      <c r="J280" s="15"/>
      <c r="K280" s="35" t="s">
        <v>582</v>
      </c>
      <c r="L280" s="36">
        <v>12</v>
      </c>
      <c r="M280" s="36" t="s">
        <v>57</v>
      </c>
      <c r="N280" s="38">
        <v>0</v>
      </c>
      <c r="O280" s="36" t="s">
        <v>40</v>
      </c>
      <c r="P280" s="36"/>
      <c r="Q280" s="35" t="s">
        <v>582</v>
      </c>
      <c r="R280" s="125">
        <v>1</v>
      </c>
      <c r="S280" s="16">
        <v>105660.37735849056</v>
      </c>
      <c r="T280" s="16">
        <v>73962.264150943403</v>
      </c>
      <c r="U280" s="39">
        <v>0</v>
      </c>
      <c r="V280" s="40">
        <v>0</v>
      </c>
      <c r="W280" s="39">
        <v>0</v>
      </c>
      <c r="X280" s="39">
        <v>0</v>
      </c>
      <c r="Y280" s="39">
        <v>0</v>
      </c>
      <c r="Z280" s="39">
        <v>0</v>
      </c>
      <c r="AA280" s="39">
        <v>0</v>
      </c>
      <c r="AB280" s="163">
        <v>0</v>
      </c>
      <c r="AC280" s="163" t="s">
        <v>35</v>
      </c>
    </row>
    <row r="281" spans="1:29" ht="16.5" x14ac:dyDescent="0.15">
      <c r="A281" s="35" t="s">
        <v>36</v>
      </c>
      <c r="B281" s="35" t="s">
        <v>585</v>
      </c>
      <c r="C281" s="36"/>
      <c r="D281" s="35" t="s">
        <v>36</v>
      </c>
      <c r="E281" s="14" t="s">
        <v>592</v>
      </c>
      <c r="F281" s="16">
        <v>253800</v>
      </c>
      <c r="G281" s="16">
        <v>239433.96226415093</v>
      </c>
      <c r="H281" s="37">
        <v>0.7</v>
      </c>
      <c r="I281" s="16">
        <v>167603.77358490563</v>
      </c>
      <c r="J281" s="15"/>
      <c r="K281" s="35" t="s">
        <v>587</v>
      </c>
      <c r="L281" s="36">
        <v>12</v>
      </c>
      <c r="M281" s="36" t="s">
        <v>57</v>
      </c>
      <c r="N281" s="38">
        <v>0</v>
      </c>
      <c r="O281" s="36" t="s">
        <v>40</v>
      </c>
      <c r="P281" s="36"/>
      <c r="Q281" s="35" t="s">
        <v>587</v>
      </c>
      <c r="R281" s="125">
        <v>1</v>
      </c>
      <c r="S281" s="16">
        <v>239433.96226415093</v>
      </c>
      <c r="T281" s="16">
        <v>167603.77358490563</v>
      </c>
      <c r="U281" s="39">
        <v>0</v>
      </c>
      <c r="V281" s="40">
        <v>0</v>
      </c>
      <c r="W281" s="39">
        <v>0</v>
      </c>
      <c r="X281" s="39">
        <v>0</v>
      </c>
      <c r="Y281" s="39">
        <v>0</v>
      </c>
      <c r="Z281" s="39">
        <v>0</v>
      </c>
      <c r="AA281" s="39">
        <v>0</v>
      </c>
      <c r="AB281" s="163">
        <v>0</v>
      </c>
      <c r="AC281" s="163" t="s">
        <v>32</v>
      </c>
    </row>
    <row r="282" spans="1:29" ht="16.5" x14ac:dyDescent="0.15">
      <c r="A282" s="35" t="s">
        <v>36</v>
      </c>
      <c r="B282" s="35" t="s">
        <v>585</v>
      </c>
      <c r="C282" s="36"/>
      <c r="D282" s="35" t="s">
        <v>36</v>
      </c>
      <c r="E282" s="14" t="s">
        <v>606</v>
      </c>
      <c r="F282" s="16">
        <v>180000</v>
      </c>
      <c r="G282" s="16">
        <v>169811.32075471696</v>
      </c>
      <c r="H282" s="37">
        <v>0.69999999999999984</v>
      </c>
      <c r="I282" s="16">
        <v>118867.92452830184</v>
      </c>
      <c r="J282" s="15"/>
      <c r="K282" s="35" t="s">
        <v>582</v>
      </c>
      <c r="L282" s="36">
        <v>12</v>
      </c>
      <c r="M282" s="36" t="s">
        <v>57</v>
      </c>
      <c r="N282" s="38">
        <v>0</v>
      </c>
      <c r="O282" s="36" t="s">
        <v>40</v>
      </c>
      <c r="P282" s="36"/>
      <c r="Q282" s="35" t="s">
        <v>582</v>
      </c>
      <c r="R282" s="125">
        <v>1</v>
      </c>
      <c r="S282" s="16">
        <v>169811.32075471696</v>
      </c>
      <c r="T282" s="16">
        <v>118867.92452830184</v>
      </c>
      <c r="U282" s="39">
        <v>0</v>
      </c>
      <c r="V282" s="40">
        <v>0</v>
      </c>
      <c r="W282" s="39">
        <v>0</v>
      </c>
      <c r="X282" s="39">
        <v>0</v>
      </c>
      <c r="Y282" s="39">
        <v>0</v>
      </c>
      <c r="Z282" s="39">
        <v>0</v>
      </c>
      <c r="AA282" s="39">
        <v>0</v>
      </c>
      <c r="AB282" s="163">
        <v>0</v>
      </c>
      <c r="AC282" s="163" t="s">
        <v>35</v>
      </c>
    </row>
    <row r="283" spans="1:29" ht="16.5" x14ac:dyDescent="0.15">
      <c r="A283" s="135" t="s">
        <v>36</v>
      </c>
      <c r="B283" s="135" t="s">
        <v>585</v>
      </c>
      <c r="C283" s="136"/>
      <c r="D283" s="135" t="s">
        <v>36</v>
      </c>
      <c r="E283" s="137" t="s">
        <v>629</v>
      </c>
      <c r="F283" s="138">
        <v>57500</v>
      </c>
      <c r="G283" s="138">
        <v>54245.283018867922</v>
      </c>
      <c r="H283" s="139">
        <v>0.65</v>
      </c>
      <c r="I283" s="138">
        <v>35259.433962264149</v>
      </c>
      <c r="J283" s="140"/>
      <c r="K283" s="135" t="s">
        <v>630</v>
      </c>
      <c r="L283" s="136">
        <v>12</v>
      </c>
      <c r="M283" s="136" t="s">
        <v>57</v>
      </c>
      <c r="N283" s="141">
        <v>0</v>
      </c>
      <c r="O283" s="136" t="s">
        <v>40</v>
      </c>
      <c r="P283" s="136"/>
      <c r="Q283" s="135" t="s">
        <v>630</v>
      </c>
      <c r="R283" s="142">
        <v>1</v>
      </c>
      <c r="S283" s="138">
        <v>54245.283018867922</v>
      </c>
      <c r="T283" s="138">
        <v>35259.433962264149</v>
      </c>
      <c r="U283" s="136">
        <v>0</v>
      </c>
      <c r="V283" s="142">
        <v>0</v>
      </c>
      <c r="W283" s="136">
        <v>0</v>
      </c>
      <c r="X283" s="136">
        <v>0</v>
      </c>
      <c r="Y283" s="136">
        <v>0</v>
      </c>
      <c r="Z283" s="136">
        <v>0</v>
      </c>
      <c r="AA283" s="136">
        <v>0</v>
      </c>
      <c r="AB283" s="182">
        <v>0</v>
      </c>
      <c r="AC283" s="182" t="s">
        <v>531</v>
      </c>
    </row>
    <row r="284" spans="1:29" ht="16.5" x14ac:dyDescent="0.15">
      <c r="A284" s="35" t="s">
        <v>36</v>
      </c>
      <c r="B284" s="35" t="s">
        <v>585</v>
      </c>
      <c r="C284" s="36"/>
      <c r="D284" s="35" t="s">
        <v>36</v>
      </c>
      <c r="E284" s="14" t="s">
        <v>619</v>
      </c>
      <c r="F284" s="16">
        <v>20000</v>
      </c>
      <c r="G284" s="16">
        <v>18867.924528301886</v>
      </c>
      <c r="H284" s="37">
        <v>0.25</v>
      </c>
      <c r="I284" s="16">
        <v>4716.9811320754716</v>
      </c>
      <c r="J284" s="15"/>
      <c r="K284" s="35" t="s">
        <v>582</v>
      </c>
      <c r="L284" s="36">
        <v>12</v>
      </c>
      <c r="M284" s="36" t="s">
        <v>57</v>
      </c>
      <c r="N284" s="38">
        <v>0</v>
      </c>
      <c r="O284" s="36" t="s">
        <v>40</v>
      </c>
      <c r="P284" s="36"/>
      <c r="Q284" s="35" t="s">
        <v>582</v>
      </c>
      <c r="R284" s="125">
        <v>1</v>
      </c>
      <c r="S284" s="16">
        <v>18867.924528301886</v>
      </c>
      <c r="T284" s="16">
        <v>4716.9811320754716</v>
      </c>
      <c r="U284" s="39">
        <v>0</v>
      </c>
      <c r="V284" s="40">
        <v>0</v>
      </c>
      <c r="W284" s="39">
        <v>0</v>
      </c>
      <c r="X284" s="39">
        <v>0</v>
      </c>
      <c r="Y284" s="39">
        <v>0</v>
      </c>
      <c r="Z284" s="39">
        <v>0</v>
      </c>
      <c r="AA284" s="39">
        <v>0</v>
      </c>
      <c r="AB284" s="163">
        <v>0</v>
      </c>
      <c r="AC284" s="163">
        <v>0</v>
      </c>
    </row>
    <row r="285" spans="1:29" ht="16.5" x14ac:dyDescent="0.15">
      <c r="A285" s="35" t="s">
        <v>102</v>
      </c>
      <c r="B285" s="35" t="s">
        <v>585</v>
      </c>
      <c r="C285" s="36"/>
      <c r="D285" s="35" t="s">
        <v>102</v>
      </c>
      <c r="E285" s="14" t="s">
        <v>602</v>
      </c>
      <c r="F285" s="16">
        <v>500000</v>
      </c>
      <c r="G285" s="16">
        <v>471698.11320754717</v>
      </c>
      <c r="H285" s="37">
        <v>0.89770000000000005</v>
      </c>
      <c r="I285" s="16">
        <v>423443.39622641512</v>
      </c>
      <c r="J285" s="15"/>
      <c r="K285" s="35" t="s">
        <v>584</v>
      </c>
      <c r="L285" s="36">
        <v>12</v>
      </c>
      <c r="M285" s="36" t="s">
        <v>57</v>
      </c>
      <c r="N285" s="38">
        <v>0</v>
      </c>
      <c r="O285" s="36" t="s">
        <v>105</v>
      </c>
      <c r="P285" s="36"/>
      <c r="Q285" s="35" t="s">
        <v>584</v>
      </c>
      <c r="R285" s="125">
        <v>1</v>
      </c>
      <c r="S285" s="16">
        <v>471698.11320754717</v>
      </c>
      <c r="T285" s="16">
        <v>423443.39622641512</v>
      </c>
      <c r="U285" s="39">
        <v>0</v>
      </c>
      <c r="V285" s="40">
        <v>0</v>
      </c>
      <c r="W285" s="39">
        <v>0</v>
      </c>
      <c r="X285" s="39">
        <v>0</v>
      </c>
      <c r="Y285" s="39">
        <v>0</v>
      </c>
      <c r="Z285" s="39">
        <v>0</v>
      </c>
      <c r="AA285" s="39">
        <v>0</v>
      </c>
      <c r="AB285" s="163">
        <v>0</v>
      </c>
      <c r="AC285" s="163" t="s">
        <v>32</v>
      </c>
    </row>
    <row r="286" spans="1:29" ht="16.5" x14ac:dyDescent="0.15">
      <c r="A286" s="35" t="s">
        <v>36</v>
      </c>
      <c r="B286" s="35" t="s">
        <v>585</v>
      </c>
      <c r="C286" s="36"/>
      <c r="D286" s="35" t="s">
        <v>36</v>
      </c>
      <c r="E286" s="14" t="s">
        <v>631</v>
      </c>
      <c r="F286" s="16">
        <v>519675</v>
      </c>
      <c r="G286" s="16">
        <v>490259.4339622641</v>
      </c>
      <c r="H286" s="37">
        <v>0.68632029633905811</v>
      </c>
      <c r="I286" s="16">
        <v>336475</v>
      </c>
      <c r="J286" s="15"/>
      <c r="K286" s="35" t="s">
        <v>587</v>
      </c>
      <c r="L286" s="36">
        <v>12</v>
      </c>
      <c r="M286" s="36" t="s">
        <v>57</v>
      </c>
      <c r="N286" s="38">
        <v>0</v>
      </c>
      <c r="O286" s="36" t="s">
        <v>40</v>
      </c>
      <c r="P286" s="36"/>
      <c r="Q286" s="35" t="s">
        <v>587</v>
      </c>
      <c r="R286" s="125">
        <v>1</v>
      </c>
      <c r="S286" s="16">
        <v>490259.4339622641</v>
      </c>
      <c r="T286" s="16">
        <v>336475</v>
      </c>
      <c r="U286" s="39">
        <v>0</v>
      </c>
      <c r="V286" s="40">
        <v>0</v>
      </c>
      <c r="W286" s="39">
        <v>0</v>
      </c>
      <c r="X286" s="39">
        <v>0</v>
      </c>
      <c r="Y286" s="39">
        <v>0</v>
      </c>
      <c r="Z286" s="39">
        <v>0</v>
      </c>
      <c r="AA286" s="39">
        <v>0</v>
      </c>
      <c r="AB286" s="163">
        <v>0</v>
      </c>
      <c r="AC286" s="163">
        <v>0</v>
      </c>
    </row>
    <row r="287" spans="1:29" ht="16.5" x14ac:dyDescent="0.15">
      <c r="A287" s="35" t="s">
        <v>36</v>
      </c>
      <c r="B287" s="35" t="s">
        <v>585</v>
      </c>
      <c r="C287" s="36"/>
      <c r="D287" s="35" t="s">
        <v>36</v>
      </c>
      <c r="E287" s="14" t="s">
        <v>632</v>
      </c>
      <c r="F287" s="16">
        <v>271700</v>
      </c>
      <c r="G287" s="16">
        <v>256320.75471698112</v>
      </c>
      <c r="H287" s="37">
        <v>0.66976628634523372</v>
      </c>
      <c r="I287" s="16">
        <v>171675</v>
      </c>
      <c r="J287" s="15"/>
      <c r="K287" s="35" t="s">
        <v>587</v>
      </c>
      <c r="L287" s="36">
        <v>12</v>
      </c>
      <c r="M287" s="36" t="s">
        <v>57</v>
      </c>
      <c r="N287" s="38">
        <v>0</v>
      </c>
      <c r="O287" s="36" t="s">
        <v>40</v>
      </c>
      <c r="P287" s="36"/>
      <c r="Q287" s="35" t="s">
        <v>587</v>
      </c>
      <c r="R287" s="125">
        <v>1</v>
      </c>
      <c r="S287" s="16">
        <v>256320.75471698112</v>
      </c>
      <c r="T287" s="16">
        <v>171675</v>
      </c>
      <c r="U287" s="39">
        <v>0</v>
      </c>
      <c r="V287" s="40">
        <v>0</v>
      </c>
      <c r="W287" s="39">
        <v>0</v>
      </c>
      <c r="X287" s="39">
        <v>0</v>
      </c>
      <c r="Y287" s="39">
        <v>0</v>
      </c>
      <c r="Z287" s="39">
        <v>0</v>
      </c>
      <c r="AA287" s="39">
        <v>0</v>
      </c>
      <c r="AB287" s="163">
        <v>0</v>
      </c>
      <c r="AC287" s="163">
        <v>0</v>
      </c>
    </row>
    <row r="288" spans="1:29" ht="16.5" x14ac:dyDescent="0.35">
      <c r="A288" s="35" t="s">
        <v>69</v>
      </c>
      <c r="B288" s="35" t="s">
        <v>608</v>
      </c>
      <c r="C288" s="12"/>
      <c r="D288" s="35" t="s">
        <v>69</v>
      </c>
      <c r="E288" s="41" t="s">
        <v>70</v>
      </c>
      <c r="F288" s="42"/>
      <c r="G288" s="42"/>
      <c r="H288" s="19"/>
      <c r="I288" s="42">
        <v>671.64102564102575</v>
      </c>
      <c r="J288" s="43"/>
      <c r="K288" s="35"/>
      <c r="L288" s="35">
        <v>10</v>
      </c>
      <c r="M288" s="35" t="s">
        <v>57</v>
      </c>
      <c r="N288" s="44">
        <v>671.64102564102575</v>
      </c>
      <c r="O288" s="35" t="s">
        <v>29</v>
      </c>
      <c r="P288" s="19"/>
      <c r="Q288" s="35"/>
      <c r="R288" s="125">
        <v>1</v>
      </c>
      <c r="S288" s="42"/>
      <c r="T288" s="42">
        <v>671.64102564102575</v>
      </c>
      <c r="U288" s="39"/>
      <c r="V288" s="39"/>
      <c r="W288" s="39"/>
      <c r="X288" s="39"/>
      <c r="Y288" s="39"/>
      <c r="Z288" s="39"/>
      <c r="AA288" s="39"/>
      <c r="AB288" s="163"/>
      <c r="AC288" s="163"/>
    </row>
    <row r="289" spans="1:29" ht="16.5" x14ac:dyDescent="0.35">
      <c r="A289" s="59" t="s">
        <v>633</v>
      </c>
      <c r="B289" s="59" t="s">
        <v>608</v>
      </c>
      <c r="C289" s="8"/>
      <c r="D289" s="59" t="s">
        <v>7</v>
      </c>
      <c r="E289" s="143" t="s">
        <v>634</v>
      </c>
      <c r="F289" s="69">
        <v>79050</v>
      </c>
      <c r="G289" s="69">
        <v>67564.102564102563</v>
      </c>
      <c r="H289" s="144">
        <v>0.1128</v>
      </c>
      <c r="I289" s="69">
        <v>7621.2307692307686</v>
      </c>
      <c r="J289" s="145"/>
      <c r="K289" s="59" t="s">
        <v>635</v>
      </c>
      <c r="L289" s="59">
        <v>10</v>
      </c>
      <c r="M289" s="59" t="s">
        <v>57</v>
      </c>
      <c r="N289" s="146"/>
      <c r="O289" s="59" t="s">
        <v>74</v>
      </c>
      <c r="P289" s="144"/>
      <c r="Q289" s="59" t="s">
        <v>635</v>
      </c>
      <c r="R289" s="40">
        <v>1</v>
      </c>
      <c r="S289" s="69">
        <v>67564.102564102563</v>
      </c>
      <c r="T289" s="69">
        <v>7621.2307692307686</v>
      </c>
      <c r="U289" s="39"/>
      <c r="V289" s="39"/>
      <c r="W289" s="39"/>
      <c r="X289" s="39"/>
      <c r="Y289" s="39"/>
      <c r="Z289" s="39"/>
      <c r="AA289" s="39"/>
      <c r="AB289" s="163"/>
      <c r="AC289" s="163"/>
    </row>
    <row r="290" spans="1:29" ht="16.5" x14ac:dyDescent="0.35">
      <c r="A290" s="59" t="s">
        <v>36</v>
      </c>
      <c r="B290" s="59" t="s">
        <v>585</v>
      </c>
      <c r="C290" s="8"/>
      <c r="D290" s="59" t="s">
        <v>36</v>
      </c>
      <c r="E290" s="143" t="s">
        <v>636</v>
      </c>
      <c r="F290" s="69">
        <v>15000</v>
      </c>
      <c r="G290" s="69">
        <v>12820.512820512822</v>
      </c>
      <c r="H290" s="144">
        <v>0.7</v>
      </c>
      <c r="I290" s="69">
        <v>8974.3589743589746</v>
      </c>
      <c r="J290" s="145"/>
      <c r="K290" s="59" t="s">
        <v>587</v>
      </c>
      <c r="L290" s="59">
        <v>10</v>
      </c>
      <c r="M290" s="59" t="s">
        <v>57</v>
      </c>
      <c r="N290" s="146"/>
      <c r="O290" s="59" t="s">
        <v>40</v>
      </c>
      <c r="P290" s="144">
        <v>0</v>
      </c>
      <c r="Q290" s="59" t="s">
        <v>587</v>
      </c>
      <c r="R290" s="40">
        <v>1</v>
      </c>
      <c r="S290" s="69">
        <v>12820.512820512822</v>
      </c>
      <c r="T290" s="69">
        <v>8974.3589743589746</v>
      </c>
      <c r="U290" s="39"/>
      <c r="V290" s="39"/>
      <c r="W290" s="39"/>
      <c r="X290" s="39"/>
      <c r="Y290" s="39"/>
      <c r="Z290" s="39"/>
      <c r="AA290" s="39"/>
      <c r="AB290" s="163"/>
      <c r="AC290" s="163"/>
    </row>
    <row r="291" spans="1:29" ht="16.5" x14ac:dyDescent="0.35">
      <c r="A291" s="35" t="s">
        <v>36</v>
      </c>
      <c r="B291" s="35" t="s">
        <v>585</v>
      </c>
      <c r="C291" s="12"/>
      <c r="D291" s="35" t="s">
        <v>36</v>
      </c>
      <c r="E291" s="41" t="s">
        <v>609</v>
      </c>
      <c r="F291" s="42">
        <v>52500</v>
      </c>
      <c r="G291" s="42">
        <v>49528.301886792447</v>
      </c>
      <c r="H291" s="19">
        <v>1</v>
      </c>
      <c r="I291" s="42">
        <v>49528.301886792447</v>
      </c>
      <c r="J291" s="43"/>
      <c r="K291" s="35" t="s">
        <v>582</v>
      </c>
      <c r="L291" s="35">
        <v>10</v>
      </c>
      <c r="M291" s="35" t="s">
        <v>57</v>
      </c>
      <c r="N291" s="44"/>
      <c r="O291" s="35" t="s">
        <v>40</v>
      </c>
      <c r="P291" s="19" t="s">
        <v>610</v>
      </c>
      <c r="Q291" s="35" t="s">
        <v>582</v>
      </c>
      <c r="R291" s="125">
        <v>1</v>
      </c>
      <c r="S291" s="42">
        <v>49528.301886792447</v>
      </c>
      <c r="T291" s="42">
        <v>49528.301886792447</v>
      </c>
      <c r="U291" s="39"/>
      <c r="V291" s="39"/>
      <c r="W291" s="39"/>
      <c r="X291" s="39"/>
      <c r="Y291" s="39"/>
      <c r="Z291" s="39"/>
      <c r="AA291" s="39"/>
      <c r="AB291" s="163"/>
      <c r="AC291" s="163"/>
    </row>
    <row r="292" spans="1:29" ht="16.5" x14ac:dyDescent="0.35">
      <c r="A292" s="35" t="s">
        <v>36</v>
      </c>
      <c r="B292" s="35" t="s">
        <v>585</v>
      </c>
      <c r="C292" s="12"/>
      <c r="D292" s="35" t="s">
        <v>36</v>
      </c>
      <c r="E292" s="41" t="s">
        <v>637</v>
      </c>
      <c r="F292" s="42">
        <v>175000</v>
      </c>
      <c r="G292" s="42">
        <v>165094.33962264151</v>
      </c>
      <c r="H292" s="19">
        <v>0.7</v>
      </c>
      <c r="I292" s="42">
        <v>115566.03773584905</v>
      </c>
      <c r="J292" s="43"/>
      <c r="K292" s="35" t="s">
        <v>587</v>
      </c>
      <c r="L292" s="35">
        <v>10</v>
      </c>
      <c r="M292" s="35" t="s">
        <v>57</v>
      </c>
      <c r="N292" s="44"/>
      <c r="O292" s="35" t="s">
        <v>40</v>
      </c>
      <c r="P292" s="19" t="s">
        <v>638</v>
      </c>
      <c r="Q292" s="35" t="s">
        <v>587</v>
      </c>
      <c r="R292" s="125">
        <v>1</v>
      </c>
      <c r="S292" s="42">
        <v>165094.33962264151</v>
      </c>
      <c r="T292" s="42">
        <v>115566.03773584905</v>
      </c>
      <c r="U292" s="39"/>
      <c r="V292" s="39"/>
      <c r="W292" s="39"/>
      <c r="X292" s="39"/>
      <c r="Y292" s="39"/>
      <c r="Z292" s="39"/>
      <c r="AA292" s="39"/>
      <c r="AB292" s="163"/>
      <c r="AC292" s="163"/>
    </row>
    <row r="293" spans="1:29" ht="16.5" x14ac:dyDescent="0.35">
      <c r="A293" s="59" t="s">
        <v>36</v>
      </c>
      <c r="B293" s="59" t="s">
        <v>585</v>
      </c>
      <c r="C293" s="8"/>
      <c r="D293" s="59" t="s">
        <v>36</v>
      </c>
      <c r="E293" s="143" t="s">
        <v>639</v>
      </c>
      <c r="F293" s="69">
        <v>90000</v>
      </c>
      <c r="G293" s="69">
        <v>76923.076923076922</v>
      </c>
      <c r="H293" s="144">
        <v>0.7</v>
      </c>
      <c r="I293" s="69">
        <v>53846.153846153844</v>
      </c>
      <c r="J293" s="145"/>
      <c r="K293" s="59" t="s">
        <v>587</v>
      </c>
      <c r="L293" s="59">
        <v>10</v>
      </c>
      <c r="M293" s="59" t="s">
        <v>57</v>
      </c>
      <c r="N293" s="146"/>
      <c r="O293" s="59" t="s">
        <v>40</v>
      </c>
      <c r="P293" s="144"/>
      <c r="Q293" s="59" t="s">
        <v>587</v>
      </c>
      <c r="R293" s="40">
        <v>1</v>
      </c>
      <c r="S293" s="69">
        <v>76923.076923076922</v>
      </c>
      <c r="T293" s="69">
        <v>53846.153846153844</v>
      </c>
      <c r="U293" s="39"/>
      <c r="V293" s="39"/>
      <c r="W293" s="39"/>
      <c r="X293" s="39"/>
      <c r="Y293" s="39"/>
      <c r="Z293" s="39"/>
      <c r="AA293" s="39"/>
      <c r="AB293" s="163"/>
      <c r="AC293" s="163"/>
    </row>
    <row r="294" spans="1:29" ht="16.5" x14ac:dyDescent="0.35">
      <c r="A294" s="59" t="s">
        <v>640</v>
      </c>
      <c r="B294" s="59" t="s">
        <v>608</v>
      </c>
      <c r="C294" s="8"/>
      <c r="D294" s="59" t="s">
        <v>640</v>
      </c>
      <c r="E294" s="143" t="s">
        <v>641</v>
      </c>
      <c r="F294" s="69">
        <v>31110</v>
      </c>
      <c r="G294" s="69">
        <v>26589.74358974359</v>
      </c>
      <c r="H294" s="144">
        <v>0.69979999999999998</v>
      </c>
      <c r="I294" s="69">
        <v>18607.502564102564</v>
      </c>
      <c r="J294" s="145"/>
      <c r="K294" s="59" t="s">
        <v>587</v>
      </c>
      <c r="L294" s="59">
        <v>10</v>
      </c>
      <c r="M294" s="59" t="s">
        <v>57</v>
      </c>
      <c r="N294" s="146"/>
      <c r="O294" s="59" t="s">
        <v>40</v>
      </c>
      <c r="P294" s="144"/>
      <c r="Q294" s="59" t="s">
        <v>587</v>
      </c>
      <c r="R294" s="40">
        <v>1</v>
      </c>
      <c r="S294" s="69">
        <v>26589.74358974359</v>
      </c>
      <c r="T294" s="69">
        <v>18607.502564102564</v>
      </c>
      <c r="U294" s="39"/>
      <c r="V294" s="39"/>
      <c r="W294" s="39"/>
      <c r="X294" s="39"/>
      <c r="Y294" s="39"/>
      <c r="Z294" s="39"/>
      <c r="AA294" s="39"/>
      <c r="AB294" s="163"/>
      <c r="AC294" s="163"/>
    </row>
    <row r="295" spans="1:29" ht="16.5" x14ac:dyDescent="0.35">
      <c r="A295" s="35" t="s">
        <v>36</v>
      </c>
      <c r="B295" s="35" t="s">
        <v>585</v>
      </c>
      <c r="C295" s="12"/>
      <c r="D295" s="35" t="s">
        <v>36</v>
      </c>
      <c r="E295" s="41" t="s">
        <v>642</v>
      </c>
      <c r="F295" s="42">
        <v>30000</v>
      </c>
      <c r="G295" s="42">
        <v>25641.025641025644</v>
      </c>
      <c r="H295" s="19">
        <v>0.75</v>
      </c>
      <c r="I295" s="42">
        <v>19230.769230769234</v>
      </c>
      <c r="J295" s="43"/>
      <c r="K295" s="35" t="s">
        <v>587</v>
      </c>
      <c r="L295" s="35">
        <v>10</v>
      </c>
      <c r="M295" s="35" t="s">
        <v>57</v>
      </c>
      <c r="N295" s="44"/>
      <c r="O295" s="35" t="s">
        <v>40</v>
      </c>
      <c r="P295" s="19" t="s">
        <v>643</v>
      </c>
      <c r="Q295" s="35" t="s">
        <v>587</v>
      </c>
      <c r="R295" s="125">
        <v>1</v>
      </c>
      <c r="S295" s="42">
        <v>25641.025641025644</v>
      </c>
      <c r="T295" s="42">
        <v>19230.769230769234</v>
      </c>
      <c r="U295" s="39"/>
      <c r="V295" s="39"/>
      <c r="W295" s="39"/>
      <c r="X295" s="39"/>
      <c r="Y295" s="39"/>
      <c r="Z295" s="39"/>
      <c r="AA295" s="39"/>
      <c r="AB295" s="163"/>
      <c r="AC295" s="163"/>
    </row>
    <row r="296" spans="1:29" ht="16.5" x14ac:dyDescent="0.35">
      <c r="A296" s="35" t="s">
        <v>36</v>
      </c>
      <c r="B296" s="35" t="s">
        <v>585</v>
      </c>
      <c r="C296" s="12"/>
      <c r="D296" s="35" t="s">
        <v>36</v>
      </c>
      <c r="E296" s="41" t="s">
        <v>644</v>
      </c>
      <c r="F296" s="42">
        <v>37500</v>
      </c>
      <c r="G296" s="42">
        <v>35377.358490566039</v>
      </c>
      <c r="H296" s="19">
        <v>1</v>
      </c>
      <c r="I296" s="42">
        <v>35377.358490566039</v>
      </c>
      <c r="J296" s="43"/>
      <c r="K296" s="35" t="s">
        <v>582</v>
      </c>
      <c r="L296" s="35">
        <v>10</v>
      </c>
      <c r="M296" s="35" t="s">
        <v>57</v>
      </c>
      <c r="N296" s="44"/>
      <c r="O296" s="35" t="s">
        <v>40</v>
      </c>
      <c r="P296" s="19" t="s">
        <v>612</v>
      </c>
      <c r="Q296" s="35" t="s">
        <v>582</v>
      </c>
      <c r="R296" s="125">
        <v>1</v>
      </c>
      <c r="S296" s="42">
        <v>35377.358490566039</v>
      </c>
      <c r="T296" s="42">
        <v>35377.358490566039</v>
      </c>
      <c r="U296" s="39"/>
      <c r="V296" s="39"/>
      <c r="W296" s="39"/>
      <c r="X296" s="39"/>
      <c r="Y296" s="39"/>
      <c r="Z296" s="39"/>
      <c r="AA296" s="39"/>
      <c r="AB296" s="163"/>
      <c r="AC296" s="163"/>
    </row>
    <row r="297" spans="1:29" ht="16.5" x14ac:dyDescent="0.15">
      <c r="A297" s="59" t="s">
        <v>36</v>
      </c>
      <c r="B297" s="59" t="s">
        <v>581</v>
      </c>
      <c r="C297" s="39"/>
      <c r="D297" s="59" t="s">
        <v>36</v>
      </c>
      <c r="E297" s="148" t="s">
        <v>645</v>
      </c>
      <c r="F297" s="68">
        <v>99000</v>
      </c>
      <c r="G297" s="68">
        <v>84615.384615384624</v>
      </c>
      <c r="H297" s="149">
        <v>1</v>
      </c>
      <c r="I297" s="68">
        <v>84615.384615384624</v>
      </c>
      <c r="J297" s="145"/>
      <c r="K297" s="59" t="s">
        <v>587</v>
      </c>
      <c r="L297" s="39">
        <v>11</v>
      </c>
      <c r="M297" s="39" t="s">
        <v>57</v>
      </c>
      <c r="N297" s="141">
        <v>0</v>
      </c>
      <c r="O297" s="39" t="s">
        <v>40</v>
      </c>
      <c r="P297" s="39"/>
      <c r="Q297" s="59" t="s">
        <v>587</v>
      </c>
      <c r="R297" s="40">
        <v>1</v>
      </c>
      <c r="S297" s="68">
        <v>84615.384615384624</v>
      </c>
      <c r="T297" s="68">
        <v>84615.384615384624</v>
      </c>
      <c r="U297" s="39"/>
      <c r="V297" s="39"/>
      <c r="W297" s="39"/>
      <c r="X297" s="39"/>
      <c r="Y297" s="39"/>
      <c r="Z297" s="39"/>
      <c r="AA297" s="39"/>
      <c r="AB297" s="163"/>
      <c r="AC297" s="163"/>
    </row>
    <row r="298" spans="1:29" ht="16.5" x14ac:dyDescent="0.15">
      <c r="A298" s="35" t="s">
        <v>36</v>
      </c>
      <c r="B298" s="35" t="s">
        <v>581</v>
      </c>
      <c r="C298" s="36"/>
      <c r="D298" s="35" t="s">
        <v>36</v>
      </c>
      <c r="E298" s="14" t="s">
        <v>646</v>
      </c>
      <c r="F298" s="16">
        <v>230670</v>
      </c>
      <c r="G298" s="16">
        <v>217613.20754716979</v>
      </c>
      <c r="H298" s="37">
        <v>0.48499999999999999</v>
      </c>
      <c r="I298" s="16">
        <v>105542.40566037735</v>
      </c>
      <c r="J298" s="15"/>
      <c r="K298" s="35" t="s">
        <v>582</v>
      </c>
      <c r="L298" s="36">
        <v>11</v>
      </c>
      <c r="M298" s="36" t="s">
        <v>57</v>
      </c>
      <c r="N298" s="38">
        <v>0</v>
      </c>
      <c r="O298" s="36" t="s">
        <v>40</v>
      </c>
      <c r="P298" s="36"/>
      <c r="Q298" s="35" t="s">
        <v>582</v>
      </c>
      <c r="R298" s="125">
        <v>1</v>
      </c>
      <c r="S298" s="16">
        <v>217613.20754716979</v>
      </c>
      <c r="T298" s="16">
        <v>105542.40566037735</v>
      </c>
      <c r="U298" s="39"/>
      <c r="V298" s="39"/>
      <c r="W298" s="39"/>
      <c r="X298" s="39"/>
      <c r="Y298" s="39"/>
      <c r="Z298" s="39"/>
      <c r="AA298" s="39"/>
      <c r="AB298" s="163"/>
      <c r="AC298" s="163"/>
    </row>
    <row r="299" spans="1:29" ht="16.5" x14ac:dyDescent="0.15">
      <c r="A299" s="35" t="s">
        <v>36</v>
      </c>
      <c r="B299" s="35" t="s">
        <v>581</v>
      </c>
      <c r="C299" s="36"/>
      <c r="D299" s="35" t="s">
        <v>36</v>
      </c>
      <c r="E299" s="14" t="s">
        <v>647</v>
      </c>
      <c r="F299" s="16">
        <v>422180</v>
      </c>
      <c r="G299" s="16">
        <v>398283.01886792452</v>
      </c>
      <c r="H299" s="37">
        <v>0.68559999999999999</v>
      </c>
      <c r="I299" s="16">
        <v>273062.83773584903</v>
      </c>
      <c r="J299" s="15"/>
      <c r="K299" s="35" t="s">
        <v>587</v>
      </c>
      <c r="L299" s="36">
        <v>11</v>
      </c>
      <c r="M299" s="36" t="s">
        <v>57</v>
      </c>
      <c r="N299" s="38">
        <v>0</v>
      </c>
      <c r="O299" s="36" t="s">
        <v>40</v>
      </c>
      <c r="P299" s="36"/>
      <c r="Q299" s="35" t="s">
        <v>587</v>
      </c>
      <c r="R299" s="125">
        <v>1</v>
      </c>
      <c r="S299" s="16">
        <v>398283.01886792452</v>
      </c>
      <c r="T299" s="16">
        <v>273062.83773584903</v>
      </c>
      <c r="U299" s="39"/>
      <c r="V299" s="39"/>
      <c r="W299" s="39"/>
      <c r="X299" s="39"/>
      <c r="Y299" s="39"/>
      <c r="Z299" s="39"/>
      <c r="AA299" s="39"/>
      <c r="AB299" s="163"/>
      <c r="AC299" s="163"/>
    </row>
    <row r="300" spans="1:29" ht="16.5" x14ac:dyDescent="0.15">
      <c r="A300" s="35" t="s">
        <v>36</v>
      </c>
      <c r="B300" s="35" t="s">
        <v>581</v>
      </c>
      <c r="C300" s="36"/>
      <c r="D300" s="35" t="s">
        <v>36</v>
      </c>
      <c r="E300" s="14" t="s">
        <v>647</v>
      </c>
      <c r="F300" s="16">
        <v>74800</v>
      </c>
      <c r="G300" s="16">
        <v>63931.623931623937</v>
      </c>
      <c r="H300" s="37">
        <v>0.10000000000000002</v>
      </c>
      <c r="I300" s="16">
        <v>6393.1623931623953</v>
      </c>
      <c r="J300" s="15"/>
      <c r="K300" s="35" t="s">
        <v>587</v>
      </c>
      <c r="L300" s="36">
        <v>11</v>
      </c>
      <c r="M300" s="36" t="s">
        <v>57</v>
      </c>
      <c r="N300" s="38">
        <v>0</v>
      </c>
      <c r="O300" s="36" t="s">
        <v>40</v>
      </c>
      <c r="P300" s="36"/>
      <c r="Q300" s="35" t="s">
        <v>587</v>
      </c>
      <c r="R300" s="125">
        <v>1</v>
      </c>
      <c r="S300" s="16">
        <v>63931.623931623937</v>
      </c>
      <c r="T300" s="16">
        <v>6393.1623931623953</v>
      </c>
      <c r="U300" s="39"/>
      <c r="V300" s="39"/>
      <c r="W300" s="39"/>
      <c r="X300" s="39"/>
      <c r="Y300" s="39"/>
      <c r="Z300" s="39"/>
      <c r="AA300" s="39"/>
      <c r="AB300" s="163"/>
      <c r="AC300" s="163"/>
    </row>
    <row r="301" spans="1:29" ht="16.5" x14ac:dyDescent="0.15">
      <c r="A301" s="35" t="s">
        <v>36</v>
      </c>
      <c r="B301" s="35" t="s">
        <v>581</v>
      </c>
      <c r="C301" s="36"/>
      <c r="D301" s="35" t="s">
        <v>36</v>
      </c>
      <c r="E301" s="14" t="s">
        <v>611</v>
      </c>
      <c r="F301" s="16">
        <v>84000</v>
      </c>
      <c r="G301" s="16">
        <v>79245.283018867922</v>
      </c>
      <c r="H301" s="37">
        <v>0.7</v>
      </c>
      <c r="I301" s="16">
        <v>55471.698113207545</v>
      </c>
      <c r="J301" s="15"/>
      <c r="K301" s="35" t="s">
        <v>582</v>
      </c>
      <c r="L301" s="36">
        <v>11</v>
      </c>
      <c r="M301" s="36" t="s">
        <v>57</v>
      </c>
      <c r="N301" s="38">
        <v>0</v>
      </c>
      <c r="O301" s="36" t="s">
        <v>40</v>
      </c>
      <c r="P301" s="36"/>
      <c r="Q301" s="35" t="s">
        <v>582</v>
      </c>
      <c r="R301" s="125">
        <v>1</v>
      </c>
      <c r="S301" s="16">
        <v>79245.283018867922</v>
      </c>
      <c r="T301" s="16">
        <v>55471.698113207545</v>
      </c>
      <c r="U301" s="39"/>
      <c r="V301" s="39"/>
      <c r="W301" s="39"/>
      <c r="X301" s="39"/>
      <c r="Y301" s="39"/>
      <c r="Z301" s="39"/>
      <c r="AA301" s="39"/>
      <c r="AB301" s="163"/>
      <c r="AC301" s="163"/>
    </row>
    <row r="302" spans="1:29" ht="16.5" x14ac:dyDescent="0.15">
      <c r="A302" s="59" t="s">
        <v>36</v>
      </c>
      <c r="B302" s="59" t="s">
        <v>581</v>
      </c>
      <c r="C302" s="39"/>
      <c r="D302" s="59" t="s">
        <v>36</v>
      </c>
      <c r="E302" s="148" t="s">
        <v>648</v>
      </c>
      <c r="F302" s="68">
        <v>1006400</v>
      </c>
      <c r="G302" s="68">
        <v>860170.94017094024</v>
      </c>
      <c r="H302" s="149">
        <v>0.6574274586486486</v>
      </c>
      <c r="I302" s="68">
        <v>565499.9952</v>
      </c>
      <c r="J302" s="145"/>
      <c r="K302" s="59" t="s">
        <v>630</v>
      </c>
      <c r="L302" s="39">
        <v>11</v>
      </c>
      <c r="M302" s="39" t="s">
        <v>57</v>
      </c>
      <c r="N302" s="141">
        <v>0</v>
      </c>
      <c r="O302" s="39" t="s">
        <v>40</v>
      </c>
      <c r="P302" s="39"/>
      <c r="Q302" s="59" t="s">
        <v>630</v>
      </c>
      <c r="R302" s="40">
        <v>1</v>
      </c>
      <c r="S302" s="68">
        <v>860170.94017094024</v>
      </c>
      <c r="T302" s="68">
        <v>565499.9952</v>
      </c>
      <c r="U302" s="39"/>
      <c r="V302" s="39"/>
      <c r="W302" s="39"/>
      <c r="X302" s="39"/>
      <c r="Y302" s="39"/>
      <c r="Z302" s="39"/>
      <c r="AA302" s="39"/>
      <c r="AB302" s="163"/>
      <c r="AC302" s="163"/>
    </row>
    <row r="303" spans="1:29" ht="16.5" x14ac:dyDescent="0.15">
      <c r="A303" s="35" t="s">
        <v>36</v>
      </c>
      <c r="B303" s="35" t="s">
        <v>581</v>
      </c>
      <c r="C303" s="36"/>
      <c r="D303" s="35" t="s">
        <v>36</v>
      </c>
      <c r="E303" s="14" t="s">
        <v>649</v>
      </c>
      <c r="F303" s="16">
        <v>1009120</v>
      </c>
      <c r="G303" s="16">
        <v>862495.7264957265</v>
      </c>
      <c r="H303" s="37">
        <v>0.65743449501347706</v>
      </c>
      <c r="I303" s="16">
        <v>567034.44239999994</v>
      </c>
      <c r="J303" s="15"/>
      <c r="K303" s="35" t="s">
        <v>582</v>
      </c>
      <c r="L303" s="36">
        <v>11</v>
      </c>
      <c r="M303" s="36" t="s">
        <v>57</v>
      </c>
      <c r="N303" s="38">
        <v>0</v>
      </c>
      <c r="O303" s="36" t="s">
        <v>40</v>
      </c>
      <c r="P303" s="36"/>
      <c r="Q303" s="35" t="s">
        <v>582</v>
      </c>
      <c r="R303" s="125">
        <v>1</v>
      </c>
      <c r="S303" s="16">
        <v>862495.7264957265</v>
      </c>
      <c r="T303" s="16">
        <v>567034.44239999994</v>
      </c>
      <c r="U303" s="39"/>
      <c r="V303" s="39"/>
      <c r="W303" s="39"/>
      <c r="X303" s="39"/>
      <c r="Y303" s="39"/>
      <c r="Z303" s="39"/>
      <c r="AA303" s="39"/>
      <c r="AB303" s="163"/>
      <c r="AC303" s="163"/>
    </row>
    <row r="304" spans="1:29" ht="16.5" x14ac:dyDescent="0.15">
      <c r="A304" s="35" t="s">
        <v>36</v>
      </c>
      <c r="B304" s="35" t="s">
        <v>581</v>
      </c>
      <c r="C304" s="36"/>
      <c r="D304" s="35" t="s">
        <v>36</v>
      </c>
      <c r="E304" s="14" t="s">
        <v>650</v>
      </c>
      <c r="F304" s="16">
        <v>806670</v>
      </c>
      <c r="G304" s="16">
        <v>761009.4339622641</v>
      </c>
      <c r="H304" s="37">
        <v>0.49259999999999998</v>
      </c>
      <c r="I304" s="16">
        <v>374873.24716981128</v>
      </c>
      <c r="J304" s="15"/>
      <c r="K304" s="35" t="s">
        <v>582</v>
      </c>
      <c r="L304" s="36">
        <v>11</v>
      </c>
      <c r="M304" s="36" t="s">
        <v>57</v>
      </c>
      <c r="N304" s="38">
        <v>0</v>
      </c>
      <c r="O304" s="36" t="s">
        <v>40</v>
      </c>
      <c r="P304" s="36"/>
      <c r="Q304" s="35" t="s">
        <v>582</v>
      </c>
      <c r="R304" s="125">
        <v>1</v>
      </c>
      <c r="S304" s="16">
        <v>761009.4339622641</v>
      </c>
      <c r="T304" s="16">
        <v>374873.24716981128</v>
      </c>
      <c r="U304" s="39"/>
      <c r="V304" s="39"/>
      <c r="W304" s="39"/>
      <c r="X304" s="39"/>
      <c r="Y304" s="39"/>
      <c r="Z304" s="39"/>
      <c r="AA304" s="39"/>
      <c r="AB304" s="163"/>
      <c r="AC304" s="163"/>
    </row>
    <row r="305" spans="1:29" ht="16.5" x14ac:dyDescent="0.15">
      <c r="A305" s="35" t="s">
        <v>36</v>
      </c>
      <c r="B305" s="35" t="s">
        <v>581</v>
      </c>
      <c r="C305" s="48"/>
      <c r="D305" s="49" t="s">
        <v>36</v>
      </c>
      <c r="E305" s="14" t="s">
        <v>619</v>
      </c>
      <c r="F305" s="16">
        <v>20000</v>
      </c>
      <c r="G305" s="16">
        <v>18867.924528301886</v>
      </c>
      <c r="H305" s="37">
        <v>0.25</v>
      </c>
      <c r="I305" s="16">
        <v>4716.9811320754716</v>
      </c>
      <c r="J305" s="50"/>
      <c r="K305" s="35" t="s">
        <v>582</v>
      </c>
      <c r="L305" s="36">
        <v>11</v>
      </c>
      <c r="M305" s="36" t="s">
        <v>57</v>
      </c>
      <c r="N305" s="38">
        <v>0</v>
      </c>
      <c r="O305" s="36" t="s">
        <v>40</v>
      </c>
      <c r="P305" s="48"/>
      <c r="Q305" s="35" t="s">
        <v>582</v>
      </c>
      <c r="R305" s="125">
        <v>1</v>
      </c>
      <c r="S305" s="16">
        <v>18867.924528301886</v>
      </c>
      <c r="T305" s="16">
        <v>4716.9811320754716</v>
      </c>
      <c r="U305" s="39"/>
      <c r="V305" s="39"/>
      <c r="W305" s="39"/>
      <c r="X305" s="39"/>
      <c r="Y305" s="39"/>
      <c r="Z305" s="39"/>
      <c r="AA305" s="39"/>
      <c r="AB305" s="163"/>
      <c r="AC305" s="163"/>
    </row>
    <row r="306" spans="1:29" ht="16.5" x14ac:dyDescent="0.15">
      <c r="A306" s="35" t="s">
        <v>36</v>
      </c>
      <c r="B306" s="35" t="s">
        <v>581</v>
      </c>
      <c r="C306" s="48"/>
      <c r="D306" s="49" t="s">
        <v>36</v>
      </c>
      <c r="E306" s="14" t="s">
        <v>609</v>
      </c>
      <c r="F306" s="16">
        <v>17500</v>
      </c>
      <c r="G306" s="16">
        <v>16509.433962264149</v>
      </c>
      <c r="H306" s="37">
        <v>1</v>
      </c>
      <c r="I306" s="16">
        <v>16509.433962264149</v>
      </c>
      <c r="J306" s="50"/>
      <c r="K306" s="35" t="s">
        <v>582</v>
      </c>
      <c r="L306" s="36">
        <v>11</v>
      </c>
      <c r="M306" s="36" t="s">
        <v>57</v>
      </c>
      <c r="N306" s="38">
        <v>0</v>
      </c>
      <c r="O306" s="36" t="s">
        <v>40</v>
      </c>
      <c r="P306" s="48"/>
      <c r="Q306" s="35" t="s">
        <v>582</v>
      </c>
      <c r="R306" s="125">
        <v>1</v>
      </c>
      <c r="S306" s="16">
        <v>16509.433962264149</v>
      </c>
      <c r="T306" s="16">
        <v>16509.433962264149</v>
      </c>
      <c r="U306" s="39"/>
      <c r="V306" s="39"/>
      <c r="W306" s="39"/>
      <c r="X306" s="39"/>
      <c r="Y306" s="39"/>
      <c r="Z306" s="39"/>
      <c r="AA306" s="39"/>
      <c r="AB306" s="163"/>
      <c r="AC306" s="163"/>
    </row>
    <row r="307" spans="1:29" ht="16.5" x14ac:dyDescent="0.15">
      <c r="A307" s="35" t="s">
        <v>36</v>
      </c>
      <c r="B307" s="35" t="s">
        <v>581</v>
      </c>
      <c r="C307" s="48"/>
      <c r="D307" s="49" t="s">
        <v>36</v>
      </c>
      <c r="E307" s="14" t="s">
        <v>651</v>
      </c>
      <c r="F307" s="16">
        <v>19000</v>
      </c>
      <c r="G307" s="16">
        <v>17924.528301886792</v>
      </c>
      <c r="H307" s="37">
        <v>0.08</v>
      </c>
      <c r="I307" s="16">
        <v>1433.9622641509434</v>
      </c>
      <c r="J307" s="50"/>
      <c r="K307" s="35" t="s">
        <v>587</v>
      </c>
      <c r="L307" s="36">
        <v>11</v>
      </c>
      <c r="M307" s="36" t="s">
        <v>57</v>
      </c>
      <c r="N307" s="38">
        <v>0</v>
      </c>
      <c r="O307" s="36" t="s">
        <v>40</v>
      </c>
      <c r="P307" s="48"/>
      <c r="Q307" s="35" t="s">
        <v>587</v>
      </c>
      <c r="R307" s="125">
        <v>1</v>
      </c>
      <c r="S307" s="16">
        <v>17924.528301886792</v>
      </c>
      <c r="T307" s="16">
        <v>1433.9622641509434</v>
      </c>
      <c r="U307" s="39"/>
      <c r="V307" s="39"/>
      <c r="W307" s="39"/>
      <c r="X307" s="39"/>
      <c r="Y307" s="39"/>
      <c r="Z307" s="39"/>
      <c r="AA307" s="39"/>
      <c r="AB307" s="163"/>
      <c r="AC307" s="163"/>
    </row>
    <row r="308" spans="1:29" ht="16.5" x14ac:dyDescent="0.15">
      <c r="A308" s="35" t="s">
        <v>7</v>
      </c>
      <c r="B308" s="35" t="s">
        <v>652</v>
      </c>
      <c r="C308" s="36"/>
      <c r="D308" s="35" t="s">
        <v>7</v>
      </c>
      <c r="E308" s="14" t="s">
        <v>653</v>
      </c>
      <c r="F308" s="16">
        <v>148500</v>
      </c>
      <c r="G308" s="16">
        <v>140094.33962264151</v>
      </c>
      <c r="H308" s="37">
        <v>0.1089</v>
      </c>
      <c r="I308" s="16">
        <v>15256.273584905659</v>
      </c>
      <c r="J308" s="15"/>
      <c r="K308" s="35" t="s">
        <v>654</v>
      </c>
      <c r="L308" s="36">
        <v>12</v>
      </c>
      <c r="M308" s="36" t="s">
        <v>57</v>
      </c>
      <c r="N308" s="38">
        <v>0</v>
      </c>
      <c r="O308" s="36" t="s">
        <v>29</v>
      </c>
      <c r="P308" s="36"/>
      <c r="Q308" s="39" t="s">
        <v>655</v>
      </c>
      <c r="R308" s="40">
        <v>1</v>
      </c>
      <c r="S308" s="68">
        <v>140094.33962264151</v>
      </c>
      <c r="T308" s="68">
        <v>15256.273584905659</v>
      </c>
      <c r="U308" s="39">
        <v>0</v>
      </c>
      <c r="V308" s="40">
        <v>0</v>
      </c>
      <c r="W308" s="39">
        <v>0</v>
      </c>
      <c r="X308" s="39">
        <v>0</v>
      </c>
      <c r="Y308" s="39">
        <v>0</v>
      </c>
      <c r="Z308" s="39">
        <v>0</v>
      </c>
      <c r="AA308" s="39">
        <v>0</v>
      </c>
      <c r="AB308" s="163">
        <v>0</v>
      </c>
      <c r="AC308" s="163" t="s">
        <v>108</v>
      </c>
    </row>
    <row r="309" spans="1:29" ht="16.5" x14ac:dyDescent="0.15">
      <c r="A309" s="35" t="s">
        <v>7</v>
      </c>
      <c r="B309" s="35" t="s">
        <v>652</v>
      </c>
      <c r="C309" s="36"/>
      <c r="D309" s="35" t="s">
        <v>7</v>
      </c>
      <c r="E309" s="14" t="s">
        <v>653</v>
      </c>
      <c r="F309" s="16">
        <v>198000</v>
      </c>
      <c r="G309" s="16">
        <v>186792.45283018867</v>
      </c>
      <c r="H309" s="37">
        <v>0.1089</v>
      </c>
      <c r="I309" s="16">
        <v>20341.698113207545</v>
      </c>
      <c r="J309" s="15"/>
      <c r="K309" s="35" t="s">
        <v>654</v>
      </c>
      <c r="L309" s="36">
        <v>12</v>
      </c>
      <c r="M309" s="36" t="s">
        <v>57</v>
      </c>
      <c r="N309" s="38">
        <v>0</v>
      </c>
      <c r="O309" s="36" t="s">
        <v>29</v>
      </c>
      <c r="P309" s="36"/>
      <c r="Q309" s="39" t="s">
        <v>655</v>
      </c>
      <c r="R309" s="40">
        <v>1</v>
      </c>
      <c r="S309" s="68">
        <v>186792.45283018867</v>
      </c>
      <c r="T309" s="68">
        <v>20341.698113207545</v>
      </c>
      <c r="U309" s="39">
        <v>0</v>
      </c>
      <c r="V309" s="40">
        <v>0</v>
      </c>
      <c r="W309" s="39">
        <v>0</v>
      </c>
      <c r="X309" s="39">
        <v>0</v>
      </c>
      <c r="Y309" s="39">
        <v>0</v>
      </c>
      <c r="Z309" s="39">
        <v>0</v>
      </c>
      <c r="AA309" s="39">
        <v>0</v>
      </c>
      <c r="AB309" s="163">
        <v>0</v>
      </c>
      <c r="AC309" s="163" t="s">
        <v>108</v>
      </c>
    </row>
    <row r="310" spans="1:29" ht="16.5" x14ac:dyDescent="0.35">
      <c r="A310" s="62" t="s">
        <v>7</v>
      </c>
      <c r="B310" s="62" t="s">
        <v>652</v>
      </c>
      <c r="C310" s="12"/>
      <c r="D310" s="62" t="s">
        <v>7</v>
      </c>
      <c r="E310" s="63" t="s">
        <v>656</v>
      </c>
      <c r="F310" s="64">
        <v>11700</v>
      </c>
      <c r="G310" s="64">
        <v>11037.735849056604</v>
      </c>
      <c r="H310" s="65">
        <v>1</v>
      </c>
      <c r="I310" s="64">
        <v>11037.735849056604</v>
      </c>
      <c r="J310" s="66"/>
      <c r="K310" s="62" t="s">
        <v>654</v>
      </c>
      <c r="L310" s="35">
        <v>10</v>
      </c>
      <c r="M310" s="62" t="s">
        <v>64</v>
      </c>
      <c r="N310" s="67"/>
      <c r="O310" s="62" t="s">
        <v>29</v>
      </c>
      <c r="P310" s="65" t="s">
        <v>657</v>
      </c>
      <c r="Q310" s="39" t="s">
        <v>655</v>
      </c>
      <c r="R310" s="40">
        <v>1</v>
      </c>
      <c r="S310" s="69">
        <v>11037.735849056604</v>
      </c>
      <c r="T310" s="69">
        <v>11037.735849056604</v>
      </c>
      <c r="U310" s="39"/>
      <c r="V310" s="39"/>
      <c r="W310" s="39"/>
      <c r="X310" s="39"/>
      <c r="Y310" s="39"/>
      <c r="Z310" s="39"/>
      <c r="AA310" s="39"/>
      <c r="AB310" s="163"/>
      <c r="AC310" s="163"/>
    </row>
    <row r="311" spans="1:29" ht="16.5" x14ac:dyDescent="0.15">
      <c r="A311" s="35" t="s">
        <v>7</v>
      </c>
      <c r="B311" s="35" t="s">
        <v>658</v>
      </c>
      <c r="C311" s="36"/>
      <c r="D311" s="35" t="s">
        <v>7</v>
      </c>
      <c r="E311" s="14" t="s">
        <v>653</v>
      </c>
      <c r="F311" s="16">
        <v>148500</v>
      </c>
      <c r="G311" s="16">
        <v>140094.33962264151</v>
      </c>
      <c r="H311" s="37">
        <v>0.1089</v>
      </c>
      <c r="I311" s="16">
        <v>15256.273584905659</v>
      </c>
      <c r="J311" s="15"/>
      <c r="K311" s="35" t="s">
        <v>654</v>
      </c>
      <c r="L311" s="36">
        <v>11</v>
      </c>
      <c r="M311" s="36" t="s">
        <v>57</v>
      </c>
      <c r="N311" s="38">
        <v>0</v>
      </c>
      <c r="O311" s="36" t="s">
        <v>29</v>
      </c>
      <c r="P311" s="36"/>
      <c r="Q311" s="39" t="s">
        <v>655</v>
      </c>
      <c r="R311" s="40">
        <v>1</v>
      </c>
      <c r="S311" s="68">
        <v>140094.33962264151</v>
      </c>
      <c r="T311" s="68">
        <v>15256.273584905659</v>
      </c>
      <c r="U311" s="39"/>
      <c r="V311" s="39"/>
      <c r="W311" s="39"/>
      <c r="X311" s="39"/>
      <c r="Y311" s="39"/>
      <c r="Z311" s="39"/>
      <c r="AA311" s="39"/>
      <c r="AB311" s="163"/>
      <c r="AC311" s="163"/>
    </row>
    <row r="312" spans="1:29" ht="16.5" x14ac:dyDescent="0.15">
      <c r="A312" s="35" t="s">
        <v>7</v>
      </c>
      <c r="B312" s="35" t="s">
        <v>659</v>
      </c>
      <c r="C312" s="83"/>
      <c r="D312" s="35" t="s">
        <v>7</v>
      </c>
      <c r="E312" s="75" t="s">
        <v>668</v>
      </c>
      <c r="F312" s="77">
        <v>4050250</v>
      </c>
      <c r="G312" s="77">
        <v>3820990.5660377401</v>
      </c>
      <c r="H312" s="84">
        <v>0.25950000000000001</v>
      </c>
      <c r="I312" s="77">
        <v>991547.05188679195</v>
      </c>
      <c r="J312" s="76"/>
      <c r="K312" s="35">
        <v>0</v>
      </c>
      <c r="L312" s="83">
        <v>12</v>
      </c>
      <c r="M312" s="83" t="s">
        <v>57</v>
      </c>
      <c r="N312" s="85" t="s">
        <v>155</v>
      </c>
      <c r="O312" s="83" t="s">
        <v>29</v>
      </c>
      <c r="P312" s="83"/>
      <c r="Q312" s="86" t="s">
        <v>661</v>
      </c>
      <c r="R312" s="87">
        <v>1</v>
      </c>
      <c r="S312" s="86"/>
      <c r="T312" s="86">
        <v>0</v>
      </c>
      <c r="U312" s="86">
        <v>0</v>
      </c>
      <c r="V312" s="87">
        <v>0</v>
      </c>
      <c r="W312" s="86">
        <v>0</v>
      </c>
      <c r="X312" s="86">
        <v>0</v>
      </c>
      <c r="Y312" s="86">
        <v>0</v>
      </c>
      <c r="Z312" s="86">
        <v>0</v>
      </c>
      <c r="AA312" s="86">
        <v>0</v>
      </c>
      <c r="AB312" s="165">
        <v>0</v>
      </c>
      <c r="AC312" s="165" t="s">
        <v>35</v>
      </c>
    </row>
    <row r="313" spans="1:29" ht="16.5" x14ac:dyDescent="0.15">
      <c r="A313" s="35" t="s">
        <v>36</v>
      </c>
      <c r="B313" s="35" t="s">
        <v>659</v>
      </c>
      <c r="C313" s="83"/>
      <c r="D313" s="35" t="s">
        <v>36</v>
      </c>
      <c r="E313" s="75" t="s">
        <v>669</v>
      </c>
      <c r="F313" s="77">
        <v>1692301</v>
      </c>
      <c r="G313" s="77">
        <v>1596510.3773584899</v>
      </c>
      <c r="H313" s="84">
        <v>0.36899999999999999</v>
      </c>
      <c r="I313" s="77">
        <v>589112.32924528304</v>
      </c>
      <c r="J313" s="76"/>
      <c r="K313" s="35" t="s">
        <v>661</v>
      </c>
      <c r="L313" s="83">
        <v>12</v>
      </c>
      <c r="M313" s="83" t="s">
        <v>57</v>
      </c>
      <c r="N313" s="85">
        <v>0</v>
      </c>
      <c r="O313" s="83" t="s">
        <v>40</v>
      </c>
      <c r="P313" s="83"/>
      <c r="Q313" s="86" t="s">
        <v>661</v>
      </c>
      <c r="R313" s="87">
        <v>1</v>
      </c>
      <c r="S313" s="86">
        <v>0</v>
      </c>
      <c r="T313" s="86">
        <v>0</v>
      </c>
      <c r="U313" s="86">
        <v>0</v>
      </c>
      <c r="V313" s="87">
        <v>0</v>
      </c>
      <c r="W313" s="86">
        <v>0</v>
      </c>
      <c r="X313" s="86">
        <v>0</v>
      </c>
      <c r="Y313" s="86">
        <v>0</v>
      </c>
      <c r="Z313" s="86">
        <v>0</v>
      </c>
      <c r="AA313" s="86">
        <v>0</v>
      </c>
      <c r="AB313" s="165">
        <v>0</v>
      </c>
      <c r="AC313" s="165" t="s">
        <v>35</v>
      </c>
    </row>
    <row r="314" spans="1:29" ht="16.5" x14ac:dyDescent="0.15">
      <c r="A314" s="35" t="s">
        <v>36</v>
      </c>
      <c r="B314" s="35" t="s">
        <v>659</v>
      </c>
      <c r="C314" s="83"/>
      <c r="D314" s="35" t="s">
        <v>36</v>
      </c>
      <c r="E314" s="75" t="s">
        <v>669</v>
      </c>
      <c r="F314" s="77">
        <v>107699</v>
      </c>
      <c r="G314" s="77">
        <v>101602.830188679</v>
      </c>
      <c r="H314" s="84">
        <v>0.05</v>
      </c>
      <c r="I314" s="77">
        <v>5080.14150943396</v>
      </c>
      <c r="J314" s="76"/>
      <c r="K314" s="35" t="s">
        <v>661</v>
      </c>
      <c r="L314" s="83">
        <v>12</v>
      </c>
      <c r="M314" s="83" t="s">
        <v>57</v>
      </c>
      <c r="N314" s="85">
        <v>0</v>
      </c>
      <c r="O314" s="83" t="s">
        <v>40</v>
      </c>
      <c r="P314" s="83"/>
      <c r="Q314" s="86" t="s">
        <v>661</v>
      </c>
      <c r="R314" s="87">
        <v>1</v>
      </c>
      <c r="S314" s="86">
        <v>0</v>
      </c>
      <c r="T314" s="86">
        <v>0</v>
      </c>
      <c r="U314" s="86">
        <v>0</v>
      </c>
      <c r="V314" s="87">
        <v>0</v>
      </c>
      <c r="W314" s="86">
        <v>0</v>
      </c>
      <c r="X314" s="86">
        <v>0</v>
      </c>
      <c r="Y314" s="86">
        <v>0</v>
      </c>
      <c r="Z314" s="86">
        <v>0</v>
      </c>
      <c r="AA314" s="86">
        <v>0</v>
      </c>
      <c r="AB314" s="165">
        <v>0</v>
      </c>
      <c r="AC314" s="165" t="s">
        <v>35</v>
      </c>
    </row>
    <row r="315" spans="1:29" ht="16.5" x14ac:dyDescent="0.15">
      <c r="A315" s="35" t="s">
        <v>36</v>
      </c>
      <c r="B315" s="35" t="s">
        <v>659</v>
      </c>
      <c r="C315" s="83"/>
      <c r="D315" s="35" t="s">
        <v>36</v>
      </c>
      <c r="E315" s="75" t="s">
        <v>669</v>
      </c>
      <c r="F315" s="77">
        <v>587699</v>
      </c>
      <c r="G315" s="77">
        <v>554433.01886792399</v>
      </c>
      <c r="H315" s="84">
        <v>0.36899999999999999</v>
      </c>
      <c r="I315" s="77">
        <v>204585.78396226399</v>
      </c>
      <c r="J315" s="76"/>
      <c r="K315" s="35" t="s">
        <v>661</v>
      </c>
      <c r="L315" s="83">
        <v>12</v>
      </c>
      <c r="M315" s="83" t="s">
        <v>57</v>
      </c>
      <c r="N315" s="85">
        <v>0</v>
      </c>
      <c r="O315" s="83" t="s">
        <v>40</v>
      </c>
      <c r="P315" s="83"/>
      <c r="Q315" s="86" t="s">
        <v>661</v>
      </c>
      <c r="R315" s="87">
        <v>1</v>
      </c>
      <c r="S315" s="86">
        <v>0</v>
      </c>
      <c r="T315" s="86">
        <v>0</v>
      </c>
      <c r="U315" s="86">
        <v>0</v>
      </c>
      <c r="V315" s="87">
        <v>0</v>
      </c>
      <c r="W315" s="86">
        <v>0</v>
      </c>
      <c r="X315" s="86">
        <v>0</v>
      </c>
      <c r="Y315" s="86">
        <v>0</v>
      </c>
      <c r="Z315" s="86">
        <v>0</v>
      </c>
      <c r="AA315" s="86">
        <v>0</v>
      </c>
      <c r="AB315" s="165">
        <v>0</v>
      </c>
      <c r="AC315" s="165" t="s">
        <v>35</v>
      </c>
    </row>
    <row r="316" spans="1:29" ht="16.5" x14ac:dyDescent="0.15">
      <c r="A316" s="35" t="s">
        <v>36</v>
      </c>
      <c r="B316" s="35" t="s">
        <v>659</v>
      </c>
      <c r="C316" s="83"/>
      <c r="D316" s="35" t="s">
        <v>36</v>
      </c>
      <c r="E316" s="75" t="s">
        <v>669</v>
      </c>
      <c r="F316" s="77">
        <v>412301</v>
      </c>
      <c r="G316" s="77">
        <v>388963.20754716999</v>
      </c>
      <c r="H316" s="84">
        <v>0.05</v>
      </c>
      <c r="I316" s="77">
        <v>19448.160377358501</v>
      </c>
      <c r="J316" s="76"/>
      <c r="K316" s="35" t="s">
        <v>661</v>
      </c>
      <c r="L316" s="83">
        <v>12</v>
      </c>
      <c r="M316" s="83" t="s">
        <v>57</v>
      </c>
      <c r="N316" s="85">
        <v>0</v>
      </c>
      <c r="O316" s="83" t="s">
        <v>40</v>
      </c>
      <c r="P316" s="83"/>
      <c r="Q316" s="165" t="s">
        <v>661</v>
      </c>
      <c r="R316" s="170">
        <v>1</v>
      </c>
      <c r="S316" s="165">
        <v>0</v>
      </c>
      <c r="T316" s="165">
        <v>0</v>
      </c>
      <c r="U316" s="165">
        <v>0</v>
      </c>
      <c r="V316" s="170">
        <v>0</v>
      </c>
      <c r="W316" s="165">
        <v>0</v>
      </c>
      <c r="X316" s="165">
        <v>0</v>
      </c>
      <c r="Y316" s="165">
        <v>0</v>
      </c>
      <c r="Z316" s="165">
        <v>0</v>
      </c>
      <c r="AA316" s="165">
        <v>0</v>
      </c>
      <c r="AB316" s="165">
        <v>0</v>
      </c>
      <c r="AC316" s="165" t="s">
        <v>35</v>
      </c>
    </row>
    <row r="317" spans="1:29" ht="16.5" x14ac:dyDescent="0.15">
      <c r="A317" s="35" t="s">
        <v>36</v>
      </c>
      <c r="B317" s="35" t="s">
        <v>659</v>
      </c>
      <c r="C317" s="83"/>
      <c r="D317" s="35" t="s">
        <v>36</v>
      </c>
      <c r="E317" s="75" t="s">
        <v>666</v>
      </c>
      <c r="F317" s="77">
        <v>98000</v>
      </c>
      <c r="G317" s="77">
        <v>92452.830188679203</v>
      </c>
      <c r="H317" s="84">
        <v>1</v>
      </c>
      <c r="I317" s="77">
        <v>92452.830188679203</v>
      </c>
      <c r="J317" s="76"/>
      <c r="K317" s="35" t="s">
        <v>661</v>
      </c>
      <c r="L317" s="83">
        <v>12</v>
      </c>
      <c r="M317" s="83" t="s">
        <v>57</v>
      </c>
      <c r="N317" s="85">
        <v>0</v>
      </c>
      <c r="O317" s="83" t="s">
        <v>40</v>
      </c>
      <c r="P317" s="83"/>
      <c r="Q317" s="86" t="s">
        <v>661</v>
      </c>
      <c r="R317" s="87">
        <v>1</v>
      </c>
      <c r="S317" s="86">
        <v>0</v>
      </c>
      <c r="T317" s="86">
        <v>0</v>
      </c>
      <c r="U317" s="86">
        <v>0</v>
      </c>
      <c r="V317" s="87">
        <v>0</v>
      </c>
      <c r="W317" s="86">
        <v>0</v>
      </c>
      <c r="X317" s="86">
        <v>0</v>
      </c>
      <c r="Y317" s="86">
        <v>0</v>
      </c>
      <c r="Z317" s="86">
        <v>0</v>
      </c>
      <c r="AA317" s="86">
        <v>0</v>
      </c>
      <c r="AB317" s="86">
        <v>0</v>
      </c>
      <c r="AC317" s="86" t="s">
        <v>32</v>
      </c>
    </row>
    <row r="318" spans="1:29" ht="16.5" x14ac:dyDescent="0.15">
      <c r="A318" s="35" t="s">
        <v>7</v>
      </c>
      <c r="B318" s="35" t="s">
        <v>659</v>
      </c>
      <c r="C318" s="83"/>
      <c r="D318" s="35" t="s">
        <v>7</v>
      </c>
      <c r="E318" s="75" t="s">
        <v>670</v>
      </c>
      <c r="F318" s="77">
        <v>329000</v>
      </c>
      <c r="G318" s="77">
        <v>281196.58119658101</v>
      </c>
      <c r="H318" s="84">
        <v>9.7264437689969493E-2</v>
      </c>
      <c r="I318" s="77">
        <v>27350.427350427301</v>
      </c>
      <c r="J318" s="76"/>
      <c r="K318" s="35" t="s">
        <v>671</v>
      </c>
      <c r="L318" s="83">
        <v>12</v>
      </c>
      <c r="M318" s="83" t="s">
        <v>57</v>
      </c>
      <c r="N318" s="85">
        <v>0</v>
      </c>
      <c r="O318" s="83" t="s">
        <v>29</v>
      </c>
      <c r="P318" s="83"/>
      <c r="Q318" s="86"/>
      <c r="R318" s="87"/>
      <c r="S318" s="86">
        <v>0</v>
      </c>
      <c r="T318" s="86">
        <v>0</v>
      </c>
      <c r="U318" s="86">
        <v>0</v>
      </c>
      <c r="V318" s="87">
        <v>0</v>
      </c>
      <c r="W318" s="86">
        <v>0</v>
      </c>
      <c r="X318" s="86">
        <v>0</v>
      </c>
      <c r="Y318" s="86">
        <v>0</v>
      </c>
      <c r="Z318" s="86">
        <v>0</v>
      </c>
      <c r="AA318" s="86">
        <v>0</v>
      </c>
      <c r="AB318" s="86">
        <v>0</v>
      </c>
      <c r="AC318" s="86"/>
    </row>
    <row r="319" spans="1:29" ht="16.5" x14ac:dyDescent="0.35">
      <c r="A319" s="35" t="s">
        <v>7</v>
      </c>
      <c r="B319" s="35" t="s">
        <v>659</v>
      </c>
      <c r="C319" s="74"/>
      <c r="D319" s="35" t="s">
        <v>7</v>
      </c>
      <c r="E319" s="41" t="s">
        <v>380</v>
      </c>
      <c r="F319" s="42"/>
      <c r="G319" s="42"/>
      <c r="H319" s="19"/>
      <c r="I319" s="42">
        <v>4238.9163038219504</v>
      </c>
      <c r="J319" s="88"/>
      <c r="K319" s="35"/>
      <c r="L319" s="35">
        <v>10</v>
      </c>
      <c r="M319" s="35" t="s">
        <v>57</v>
      </c>
      <c r="N319" s="44">
        <v>4238.9163038219504</v>
      </c>
      <c r="O319" s="35" t="s">
        <v>29</v>
      </c>
      <c r="P319" s="19"/>
      <c r="Q319" s="86"/>
      <c r="R319" s="86"/>
      <c r="S319" s="86"/>
      <c r="T319" s="86"/>
      <c r="U319" s="86"/>
      <c r="V319" s="86"/>
      <c r="W319" s="86"/>
      <c r="X319" s="86"/>
      <c r="Y319" s="86"/>
      <c r="Z319" s="86"/>
      <c r="AA319" s="86"/>
      <c r="AB319" s="86"/>
      <c r="AC319" s="86"/>
    </row>
    <row r="320" spans="1:29" ht="16.5" x14ac:dyDescent="0.35">
      <c r="A320" s="35" t="s">
        <v>36</v>
      </c>
      <c r="B320" s="35" t="s">
        <v>659</v>
      </c>
      <c r="C320" s="74"/>
      <c r="D320" s="35" t="s">
        <v>36</v>
      </c>
      <c r="E320" s="41" t="s">
        <v>672</v>
      </c>
      <c r="F320" s="42">
        <v>42000</v>
      </c>
      <c r="G320" s="42">
        <v>39622.641509433997</v>
      </c>
      <c r="H320" s="19">
        <v>1</v>
      </c>
      <c r="I320" s="42">
        <v>39622.641509433997</v>
      </c>
      <c r="J320" s="88"/>
      <c r="K320" s="35" t="s">
        <v>661</v>
      </c>
      <c r="L320" s="35">
        <v>10</v>
      </c>
      <c r="M320" s="35" t="s">
        <v>57</v>
      </c>
      <c r="N320" s="44"/>
      <c r="O320" s="35" t="s">
        <v>40</v>
      </c>
      <c r="P320" s="19" t="s">
        <v>673</v>
      </c>
      <c r="Q320" s="86" t="s">
        <v>661</v>
      </c>
      <c r="R320" s="87">
        <v>1</v>
      </c>
      <c r="S320" s="86"/>
      <c r="T320" s="86"/>
      <c r="U320" s="86"/>
      <c r="V320" s="86"/>
      <c r="W320" s="86"/>
      <c r="X320" s="86"/>
      <c r="Y320" s="86"/>
      <c r="Z320" s="86"/>
      <c r="AA320" s="86"/>
      <c r="AB320" s="86"/>
      <c r="AC320" s="86" t="s">
        <v>35</v>
      </c>
    </row>
    <row r="321" spans="1:29" ht="16.5" x14ac:dyDescent="0.35">
      <c r="A321" s="35" t="s">
        <v>36</v>
      </c>
      <c r="B321" s="35" t="s">
        <v>659</v>
      </c>
      <c r="C321" s="74"/>
      <c r="D321" s="35" t="s">
        <v>36</v>
      </c>
      <c r="E321" s="41" t="s">
        <v>672</v>
      </c>
      <c r="F321" s="42">
        <v>139500</v>
      </c>
      <c r="G321" s="42">
        <v>119230.769230769</v>
      </c>
      <c r="H321" s="19">
        <v>0.1</v>
      </c>
      <c r="I321" s="42">
        <v>11923.0769230769</v>
      </c>
      <c r="J321" s="88"/>
      <c r="K321" s="35" t="s">
        <v>661</v>
      </c>
      <c r="L321" s="35">
        <v>10</v>
      </c>
      <c r="M321" s="35" t="s">
        <v>57</v>
      </c>
      <c r="N321" s="44"/>
      <c r="O321" s="35" t="s">
        <v>40</v>
      </c>
      <c r="P321" s="19" t="s">
        <v>673</v>
      </c>
      <c r="Q321" s="86" t="s">
        <v>661</v>
      </c>
      <c r="R321" s="87">
        <v>1</v>
      </c>
      <c r="S321" s="86"/>
      <c r="T321" s="86"/>
      <c r="U321" s="86"/>
      <c r="V321" s="86"/>
      <c r="W321" s="86"/>
      <c r="X321" s="86"/>
      <c r="Y321" s="86"/>
      <c r="Z321" s="86"/>
      <c r="AA321" s="86"/>
      <c r="AB321" s="86"/>
      <c r="AC321" s="86" t="s">
        <v>35</v>
      </c>
    </row>
    <row r="322" spans="1:29" ht="16.5" x14ac:dyDescent="0.35">
      <c r="A322" s="35" t="s">
        <v>36</v>
      </c>
      <c r="B322" s="35" t="s">
        <v>659</v>
      </c>
      <c r="C322" s="74"/>
      <c r="D322" s="35" t="s">
        <v>36</v>
      </c>
      <c r="E322" s="41" t="s">
        <v>674</v>
      </c>
      <c r="F322" s="42">
        <v>60000</v>
      </c>
      <c r="G322" s="42">
        <v>56603.773584905699</v>
      </c>
      <c r="H322" s="19">
        <v>1</v>
      </c>
      <c r="I322" s="42">
        <v>56603.773584905699</v>
      </c>
      <c r="J322" s="88"/>
      <c r="K322" s="35" t="s">
        <v>675</v>
      </c>
      <c r="L322" s="35">
        <v>10</v>
      </c>
      <c r="M322" s="35" t="s">
        <v>57</v>
      </c>
      <c r="N322" s="44"/>
      <c r="O322" s="35" t="s">
        <v>40</v>
      </c>
      <c r="P322" s="19" t="s">
        <v>676</v>
      </c>
      <c r="Q322" s="86" t="s">
        <v>675</v>
      </c>
      <c r="R322" s="87">
        <v>1</v>
      </c>
      <c r="S322" s="86"/>
      <c r="T322" s="86"/>
      <c r="U322" s="86"/>
      <c r="V322" s="86"/>
      <c r="W322" s="86"/>
      <c r="X322" s="86"/>
      <c r="Y322" s="86"/>
      <c r="Z322" s="86"/>
      <c r="AA322" s="86"/>
      <c r="AB322" s="86"/>
      <c r="AC322" s="86" t="s">
        <v>35</v>
      </c>
    </row>
    <row r="323" spans="1:29" ht="16.5" x14ac:dyDescent="0.35">
      <c r="A323" s="35" t="s">
        <v>7</v>
      </c>
      <c r="B323" s="35" t="s">
        <v>659</v>
      </c>
      <c r="C323" s="74"/>
      <c r="D323" s="35" t="s">
        <v>7</v>
      </c>
      <c r="E323" s="41" t="s">
        <v>677</v>
      </c>
      <c r="F323" s="42">
        <v>4000000</v>
      </c>
      <c r="G323" s="64">
        <v>3773584.9056603801</v>
      </c>
      <c r="H323" s="19"/>
      <c r="I323" s="42"/>
      <c r="J323" s="88"/>
      <c r="K323" s="35"/>
      <c r="L323" s="35">
        <v>10</v>
      </c>
      <c r="M323" s="35" t="s">
        <v>57</v>
      </c>
      <c r="N323" s="44"/>
      <c r="O323" s="35" t="s">
        <v>29</v>
      </c>
      <c r="P323" s="19"/>
      <c r="Q323" s="86" t="s">
        <v>661</v>
      </c>
      <c r="R323" s="87">
        <v>1</v>
      </c>
      <c r="S323" s="86"/>
      <c r="T323" s="86"/>
      <c r="U323" s="86"/>
      <c r="V323" s="86"/>
      <c r="W323" s="86"/>
      <c r="X323" s="86"/>
      <c r="Y323" s="86"/>
      <c r="Z323" s="86"/>
      <c r="AA323" s="86"/>
      <c r="AB323" s="86"/>
      <c r="AC323" s="86" t="s">
        <v>35</v>
      </c>
    </row>
    <row r="324" spans="1:29" ht="16.5" x14ac:dyDescent="0.15">
      <c r="A324" s="35" t="s">
        <v>36</v>
      </c>
      <c r="B324" s="35" t="s">
        <v>659</v>
      </c>
      <c r="C324" s="90"/>
      <c r="D324" s="49" t="s">
        <v>36</v>
      </c>
      <c r="E324" s="75" t="s">
        <v>678</v>
      </c>
      <c r="F324" s="77">
        <v>1094500</v>
      </c>
      <c r="G324" s="77">
        <v>1032547.16981132</v>
      </c>
      <c r="H324" s="84">
        <v>0.84560000000000002</v>
      </c>
      <c r="I324" s="77">
        <v>873121.88679245301</v>
      </c>
      <c r="J324" s="91"/>
      <c r="K324" s="35" t="s">
        <v>661</v>
      </c>
      <c r="L324" s="83">
        <v>11</v>
      </c>
      <c r="M324" s="83" t="s">
        <v>57</v>
      </c>
      <c r="N324" s="85">
        <v>0</v>
      </c>
      <c r="O324" s="83" t="s">
        <v>40</v>
      </c>
      <c r="P324" s="90"/>
      <c r="Q324" s="86" t="s">
        <v>661</v>
      </c>
      <c r="R324" s="87">
        <v>1</v>
      </c>
      <c r="S324" s="86"/>
      <c r="T324" s="86"/>
      <c r="U324" s="86"/>
      <c r="V324" s="86"/>
      <c r="W324" s="86"/>
      <c r="X324" s="86"/>
      <c r="Y324" s="86"/>
      <c r="Z324" s="86"/>
      <c r="AA324" s="86"/>
      <c r="AB324" s="86"/>
      <c r="AC324" s="86" t="s">
        <v>35</v>
      </c>
    </row>
    <row r="325" spans="1:29" ht="16.5" x14ac:dyDescent="0.15">
      <c r="A325" s="35" t="s">
        <v>7</v>
      </c>
      <c r="B325" s="35" t="s">
        <v>679</v>
      </c>
      <c r="C325" s="36"/>
      <c r="D325" s="35" t="s">
        <v>7</v>
      </c>
      <c r="E325" s="14" t="s">
        <v>816</v>
      </c>
      <c r="F325" s="16">
        <v>8984695.4000000004</v>
      </c>
      <c r="G325" s="16">
        <v>8476127.7358490564</v>
      </c>
      <c r="H325" s="37">
        <v>0.28029999999999999</v>
      </c>
      <c r="I325" s="16">
        <v>2375858.6043584906</v>
      </c>
      <c r="J325" s="15"/>
      <c r="K325" s="92" t="s">
        <v>720</v>
      </c>
      <c r="L325" s="36">
        <v>12</v>
      </c>
      <c r="M325" s="36" t="s">
        <v>57</v>
      </c>
      <c r="N325" s="38">
        <v>0</v>
      </c>
      <c r="O325" s="36" t="s">
        <v>29</v>
      </c>
      <c r="P325" s="36"/>
      <c r="Q325" s="39">
        <v>0.33668139536952446</v>
      </c>
      <c r="R325" s="40">
        <v>0</v>
      </c>
      <c r="S325" s="39">
        <v>0</v>
      </c>
      <c r="T325" s="39">
        <v>0</v>
      </c>
      <c r="U325" s="39">
        <v>0</v>
      </c>
      <c r="V325" s="40">
        <v>0</v>
      </c>
      <c r="W325" s="39">
        <v>0</v>
      </c>
      <c r="X325" s="39">
        <v>0</v>
      </c>
      <c r="Y325" s="39">
        <v>0</v>
      </c>
      <c r="Z325" s="39">
        <v>0</v>
      </c>
      <c r="AA325" s="39">
        <v>0</v>
      </c>
      <c r="AB325" s="39">
        <v>0</v>
      </c>
      <c r="AC325" s="39">
        <v>0</v>
      </c>
    </row>
    <row r="326" spans="1:29" ht="16.5" x14ac:dyDescent="0.15">
      <c r="A326" s="35" t="s">
        <v>7</v>
      </c>
      <c r="B326" s="35" t="s">
        <v>679</v>
      </c>
      <c r="C326" s="36"/>
      <c r="D326" s="35" t="s">
        <v>7</v>
      </c>
      <c r="E326" s="14" t="s">
        <v>772</v>
      </c>
      <c r="F326" s="16">
        <v>95245.8</v>
      </c>
      <c r="G326" s="16">
        <v>89854.528301886792</v>
      </c>
      <c r="H326" s="37">
        <v>0.3</v>
      </c>
      <c r="I326" s="16">
        <v>26956.358490566035</v>
      </c>
      <c r="J326" s="15"/>
      <c r="K326" s="35" t="s">
        <v>684</v>
      </c>
      <c r="L326" s="36">
        <v>12</v>
      </c>
      <c r="M326" s="36" t="s">
        <v>67</v>
      </c>
      <c r="N326" s="38">
        <v>7897.3679245283074</v>
      </c>
      <c r="O326" s="36" t="s">
        <v>29</v>
      </c>
      <c r="P326" s="36"/>
      <c r="Q326" s="39">
        <v>0</v>
      </c>
      <c r="R326" s="40">
        <v>0</v>
      </c>
      <c r="S326" s="39">
        <v>0</v>
      </c>
      <c r="T326" s="39">
        <v>0</v>
      </c>
      <c r="U326" s="39">
        <v>0</v>
      </c>
      <c r="V326" s="40">
        <v>0</v>
      </c>
      <c r="W326" s="39">
        <v>0</v>
      </c>
      <c r="X326" s="39">
        <v>0</v>
      </c>
      <c r="Y326" s="39">
        <v>0</v>
      </c>
      <c r="Z326" s="39">
        <v>0</v>
      </c>
      <c r="AA326" s="39">
        <v>0</v>
      </c>
      <c r="AB326" s="39">
        <v>0</v>
      </c>
      <c r="AC326" s="39" t="s">
        <v>35</v>
      </c>
    </row>
    <row r="327" spans="1:29" ht="16.5" x14ac:dyDescent="0.15">
      <c r="A327" s="35" t="s">
        <v>36</v>
      </c>
      <c r="B327" s="35" t="s">
        <v>679</v>
      </c>
      <c r="C327" s="36"/>
      <c r="D327" s="35" t="s">
        <v>36</v>
      </c>
      <c r="E327" s="14" t="s">
        <v>802</v>
      </c>
      <c r="F327" s="16">
        <v>158400</v>
      </c>
      <c r="G327" s="16">
        <v>149433.96226415093</v>
      </c>
      <c r="H327" s="37">
        <v>0.88</v>
      </c>
      <c r="I327" s="16">
        <v>131501.88679245283</v>
      </c>
      <c r="J327" s="15"/>
      <c r="K327" s="35" t="s">
        <v>680</v>
      </c>
      <c r="L327" s="36">
        <v>12</v>
      </c>
      <c r="M327" s="36" t="s">
        <v>57</v>
      </c>
      <c r="N327" s="38">
        <v>0</v>
      </c>
      <c r="O327" s="36" t="s">
        <v>40</v>
      </c>
      <c r="P327" s="36"/>
      <c r="Q327" s="39">
        <v>0</v>
      </c>
      <c r="R327" s="40">
        <v>0</v>
      </c>
      <c r="S327" s="39">
        <v>0</v>
      </c>
      <c r="T327" s="39">
        <v>0</v>
      </c>
      <c r="U327" s="39">
        <v>0</v>
      </c>
      <c r="V327" s="40">
        <v>0</v>
      </c>
      <c r="W327" s="39">
        <v>0</v>
      </c>
      <c r="X327" s="39">
        <v>0</v>
      </c>
      <c r="Y327" s="39">
        <v>0</v>
      </c>
      <c r="Z327" s="39">
        <v>0</v>
      </c>
      <c r="AA327" s="39">
        <v>0</v>
      </c>
      <c r="AB327" s="39">
        <v>0</v>
      </c>
      <c r="AC327" s="39" t="s">
        <v>35</v>
      </c>
    </row>
    <row r="328" spans="1:29" ht="16.5" x14ac:dyDescent="0.15">
      <c r="A328" s="35" t="s">
        <v>7</v>
      </c>
      <c r="B328" s="35" t="s">
        <v>679</v>
      </c>
      <c r="C328" s="36"/>
      <c r="D328" s="35" t="s">
        <v>7</v>
      </c>
      <c r="E328" s="14" t="s">
        <v>817</v>
      </c>
      <c r="F328" s="16">
        <v>9137.4</v>
      </c>
      <c r="G328" s="16">
        <v>8620.1886792452824</v>
      </c>
      <c r="H328" s="37">
        <v>0.3</v>
      </c>
      <c r="I328" s="16">
        <v>2586.0566037735848</v>
      </c>
      <c r="J328" s="15"/>
      <c r="K328" s="35" t="s">
        <v>684</v>
      </c>
      <c r="L328" s="36">
        <v>12</v>
      </c>
      <c r="M328" s="36" t="s">
        <v>57</v>
      </c>
      <c r="N328" s="38">
        <v>0</v>
      </c>
      <c r="O328" s="36" t="s">
        <v>29</v>
      </c>
      <c r="P328" s="36"/>
      <c r="Q328" s="39">
        <v>0.19999999999999998</v>
      </c>
      <c r="R328" s="40">
        <v>0</v>
      </c>
      <c r="S328" s="39">
        <v>0</v>
      </c>
      <c r="T328" s="39">
        <v>0</v>
      </c>
      <c r="U328" s="39">
        <v>0</v>
      </c>
      <c r="V328" s="40">
        <v>0</v>
      </c>
      <c r="W328" s="39">
        <v>0</v>
      </c>
      <c r="X328" s="39">
        <v>0</v>
      </c>
      <c r="Y328" s="39">
        <v>0</v>
      </c>
      <c r="Z328" s="39">
        <v>0</v>
      </c>
      <c r="AA328" s="39">
        <v>0</v>
      </c>
      <c r="AB328" s="39">
        <v>0</v>
      </c>
      <c r="AC328" s="39">
        <v>0</v>
      </c>
    </row>
    <row r="329" spans="1:29" ht="16.5" x14ac:dyDescent="0.15">
      <c r="A329" s="35" t="s">
        <v>7</v>
      </c>
      <c r="B329" s="35" t="s">
        <v>679</v>
      </c>
      <c r="C329" s="36"/>
      <c r="D329" s="35" t="s">
        <v>7</v>
      </c>
      <c r="E329" s="14" t="s">
        <v>818</v>
      </c>
      <c r="F329" s="16">
        <v>432000</v>
      </c>
      <c r="G329" s="16">
        <v>369230.76923076925</v>
      </c>
      <c r="H329" s="37">
        <v>0.20580000000000001</v>
      </c>
      <c r="I329" s="16">
        <v>75987.692307692312</v>
      </c>
      <c r="J329" s="15"/>
      <c r="K329" s="35" t="s">
        <v>694</v>
      </c>
      <c r="L329" s="36">
        <v>12</v>
      </c>
      <c r="M329" s="36" t="s">
        <v>57</v>
      </c>
      <c r="N329" s="38">
        <v>0</v>
      </c>
      <c r="O329" s="36" t="s">
        <v>29</v>
      </c>
      <c r="P329" s="36"/>
      <c r="Q329" s="39">
        <v>0</v>
      </c>
      <c r="R329" s="40">
        <v>0</v>
      </c>
      <c r="S329" s="39">
        <v>0</v>
      </c>
      <c r="T329" s="39">
        <v>0</v>
      </c>
      <c r="U329" s="39">
        <v>0</v>
      </c>
      <c r="V329" s="40">
        <v>0</v>
      </c>
      <c r="W329" s="39">
        <v>0</v>
      </c>
      <c r="X329" s="39">
        <v>0</v>
      </c>
      <c r="Y329" s="39">
        <v>0</v>
      </c>
      <c r="Z329" s="39">
        <v>0</v>
      </c>
      <c r="AA329" s="39">
        <v>0</v>
      </c>
      <c r="AB329" s="39">
        <v>0</v>
      </c>
      <c r="AC329" s="39" t="s">
        <v>35</v>
      </c>
    </row>
    <row r="330" spans="1:29" ht="16.5" x14ac:dyDescent="0.15">
      <c r="A330" s="35" t="s">
        <v>36</v>
      </c>
      <c r="B330" s="35" t="s">
        <v>679</v>
      </c>
      <c r="C330" s="36"/>
      <c r="D330" s="35" t="s">
        <v>36</v>
      </c>
      <c r="E330" s="14" t="s">
        <v>819</v>
      </c>
      <c r="F330" s="16">
        <v>3000</v>
      </c>
      <c r="G330" s="16">
        <v>2830.1886792452829</v>
      </c>
      <c r="H330" s="37">
        <v>1</v>
      </c>
      <c r="I330" s="16">
        <v>2830.1886792452829</v>
      </c>
      <c r="J330" s="15"/>
      <c r="K330" s="92" t="s">
        <v>805</v>
      </c>
      <c r="L330" s="36">
        <v>12</v>
      </c>
      <c r="M330" s="36" t="s">
        <v>57</v>
      </c>
      <c r="N330" s="38">
        <v>0</v>
      </c>
      <c r="O330" s="36" t="s">
        <v>40</v>
      </c>
      <c r="P330" s="36"/>
      <c r="Q330" s="39">
        <v>1</v>
      </c>
      <c r="R330" s="40">
        <v>0</v>
      </c>
      <c r="S330" s="39">
        <v>0</v>
      </c>
      <c r="T330" s="39">
        <v>0</v>
      </c>
      <c r="U330" s="39">
        <v>0</v>
      </c>
      <c r="V330" s="40">
        <v>0</v>
      </c>
      <c r="W330" s="39">
        <v>0</v>
      </c>
      <c r="X330" s="39">
        <v>0</v>
      </c>
      <c r="Y330" s="39">
        <v>0</v>
      </c>
      <c r="Z330" s="39">
        <v>0</v>
      </c>
      <c r="AA330" s="39">
        <v>0</v>
      </c>
      <c r="AB330" s="39">
        <v>0</v>
      </c>
      <c r="AC330" s="39">
        <v>0</v>
      </c>
    </row>
    <row r="331" spans="1:29" ht="16.5" x14ac:dyDescent="0.15">
      <c r="A331" s="35" t="s">
        <v>7</v>
      </c>
      <c r="B331" s="35" t="s">
        <v>679</v>
      </c>
      <c r="C331" s="36"/>
      <c r="D331" s="35" t="s">
        <v>7</v>
      </c>
      <c r="E331" s="14" t="s">
        <v>820</v>
      </c>
      <c r="F331" s="16">
        <v>5664.8</v>
      </c>
      <c r="G331" s="16">
        <v>5344.1509433962265</v>
      </c>
      <c r="H331" s="37">
        <v>0.3</v>
      </c>
      <c r="I331" s="16">
        <v>1603.2452830188679</v>
      </c>
      <c r="J331" s="15"/>
      <c r="K331" s="92" t="s">
        <v>788</v>
      </c>
      <c r="L331" s="36">
        <v>12</v>
      </c>
      <c r="M331" s="36" t="s">
        <v>57</v>
      </c>
      <c r="N331" s="38">
        <v>0</v>
      </c>
      <c r="O331" s="36" t="s">
        <v>29</v>
      </c>
      <c r="P331" s="36"/>
      <c r="Q331" s="39">
        <v>0.4</v>
      </c>
      <c r="R331" s="40">
        <v>0</v>
      </c>
      <c r="S331" s="39">
        <v>0</v>
      </c>
      <c r="T331" s="39">
        <v>0</v>
      </c>
      <c r="U331" s="39">
        <v>0</v>
      </c>
      <c r="V331" s="40">
        <v>0</v>
      </c>
      <c r="W331" s="39">
        <v>0</v>
      </c>
      <c r="X331" s="39">
        <v>0</v>
      </c>
      <c r="Y331" s="39">
        <v>0</v>
      </c>
      <c r="Z331" s="39">
        <v>0</v>
      </c>
      <c r="AA331" s="39">
        <v>0</v>
      </c>
      <c r="AB331" s="39">
        <v>0</v>
      </c>
      <c r="AC331" s="39">
        <v>0</v>
      </c>
    </row>
    <row r="332" spans="1:29" ht="16.5" x14ac:dyDescent="0.15">
      <c r="A332" s="35" t="s">
        <v>7</v>
      </c>
      <c r="B332" s="35" t="s">
        <v>679</v>
      </c>
      <c r="C332" s="36"/>
      <c r="D332" s="35" t="s">
        <v>7</v>
      </c>
      <c r="E332" s="14" t="s">
        <v>821</v>
      </c>
      <c r="F332" s="16">
        <v>36491.4</v>
      </c>
      <c r="G332" s="16">
        <v>34425.849056603773</v>
      </c>
      <c r="H332" s="37">
        <v>1</v>
      </c>
      <c r="I332" s="16">
        <v>34425.849056603773</v>
      </c>
      <c r="J332" s="15"/>
      <c r="K332" s="92" t="s">
        <v>822</v>
      </c>
      <c r="L332" s="36">
        <v>12</v>
      </c>
      <c r="M332" s="36" t="s">
        <v>57</v>
      </c>
      <c r="N332" s="38">
        <v>0</v>
      </c>
      <c r="O332" s="36" t="s">
        <v>29</v>
      </c>
      <c r="P332" s="36"/>
      <c r="Q332" s="39">
        <v>0</v>
      </c>
      <c r="R332" s="40">
        <v>0</v>
      </c>
      <c r="S332" s="39">
        <v>0</v>
      </c>
      <c r="T332" s="39">
        <v>0</v>
      </c>
      <c r="U332" s="39">
        <v>0</v>
      </c>
      <c r="V332" s="40">
        <v>0</v>
      </c>
      <c r="W332" s="39">
        <v>0</v>
      </c>
      <c r="X332" s="39">
        <v>0</v>
      </c>
      <c r="Y332" s="39">
        <v>0</v>
      </c>
      <c r="Z332" s="39">
        <v>0</v>
      </c>
      <c r="AA332" s="39">
        <v>0</v>
      </c>
      <c r="AB332" s="39">
        <v>0</v>
      </c>
      <c r="AC332" s="39">
        <v>0</v>
      </c>
    </row>
    <row r="333" spans="1:29" ht="16.5" x14ac:dyDescent="0.15">
      <c r="A333" s="35" t="s">
        <v>36</v>
      </c>
      <c r="B333" s="35" t="s">
        <v>679</v>
      </c>
      <c r="C333" s="36"/>
      <c r="D333" s="35" t="s">
        <v>36</v>
      </c>
      <c r="E333" s="14" t="s">
        <v>802</v>
      </c>
      <c r="F333" s="16">
        <v>237600</v>
      </c>
      <c r="G333" s="16">
        <v>224150.94339622642</v>
      </c>
      <c r="H333" s="37">
        <v>0.88</v>
      </c>
      <c r="I333" s="16">
        <v>197252.83018867925</v>
      </c>
      <c r="J333" s="15"/>
      <c r="K333" s="35" t="s">
        <v>680</v>
      </c>
      <c r="L333" s="36">
        <v>12</v>
      </c>
      <c r="M333" s="36" t="s">
        <v>57</v>
      </c>
      <c r="N333" s="38">
        <v>0</v>
      </c>
      <c r="O333" s="36" t="s">
        <v>40</v>
      </c>
      <c r="P333" s="36"/>
      <c r="Q333" s="39">
        <v>0</v>
      </c>
      <c r="R333" s="40">
        <v>0</v>
      </c>
      <c r="S333" s="39">
        <v>0</v>
      </c>
      <c r="T333" s="39">
        <v>0</v>
      </c>
      <c r="U333" s="39">
        <v>0</v>
      </c>
      <c r="V333" s="40">
        <v>0</v>
      </c>
      <c r="W333" s="39">
        <v>0</v>
      </c>
      <c r="X333" s="39">
        <v>0</v>
      </c>
      <c r="Y333" s="39">
        <v>0</v>
      </c>
      <c r="Z333" s="39">
        <v>0</v>
      </c>
      <c r="AA333" s="39">
        <v>0</v>
      </c>
      <c r="AB333" s="39">
        <v>0</v>
      </c>
      <c r="AC333" s="39" t="s">
        <v>35</v>
      </c>
    </row>
    <row r="334" spans="1:29" ht="16.5" x14ac:dyDescent="0.15">
      <c r="A334" s="35" t="s">
        <v>7</v>
      </c>
      <c r="B334" s="35" t="s">
        <v>679</v>
      </c>
      <c r="C334" s="36"/>
      <c r="D334" s="35" t="s">
        <v>7</v>
      </c>
      <c r="E334" s="14" t="s">
        <v>807</v>
      </c>
      <c r="F334" s="16">
        <v>761400</v>
      </c>
      <c r="G334" s="16">
        <v>718301.88679245277</v>
      </c>
      <c r="H334" s="37">
        <v>0.3</v>
      </c>
      <c r="I334" s="16">
        <v>215490.56603773581</v>
      </c>
      <c r="J334" s="15"/>
      <c r="K334" s="35" t="s">
        <v>692</v>
      </c>
      <c r="L334" s="36">
        <v>12</v>
      </c>
      <c r="M334" s="36" t="s">
        <v>67</v>
      </c>
      <c r="N334" s="38">
        <v>64647.169811320753</v>
      </c>
      <c r="O334" s="36" t="s">
        <v>29</v>
      </c>
      <c r="P334" s="36"/>
      <c r="Q334" s="39">
        <v>0</v>
      </c>
      <c r="R334" s="40">
        <v>0</v>
      </c>
      <c r="S334" s="39">
        <v>0</v>
      </c>
      <c r="T334" s="39">
        <v>0</v>
      </c>
      <c r="U334" s="39">
        <v>0</v>
      </c>
      <c r="V334" s="40">
        <v>0</v>
      </c>
      <c r="W334" s="39">
        <v>0</v>
      </c>
      <c r="X334" s="39">
        <v>0</v>
      </c>
      <c r="Y334" s="39">
        <v>0</v>
      </c>
      <c r="Z334" s="39">
        <v>0</v>
      </c>
      <c r="AA334" s="39">
        <v>0</v>
      </c>
      <c r="AB334" s="39">
        <v>0</v>
      </c>
      <c r="AC334" s="39" t="s">
        <v>32</v>
      </c>
    </row>
    <row r="335" spans="1:29" ht="16.5" x14ac:dyDescent="0.15">
      <c r="A335" s="35" t="s">
        <v>7</v>
      </c>
      <c r="B335" s="35" t="s">
        <v>679</v>
      </c>
      <c r="C335" s="36"/>
      <c r="D335" s="35" t="s">
        <v>7</v>
      </c>
      <c r="E335" s="14" t="s">
        <v>715</v>
      </c>
      <c r="F335" s="16">
        <v>3171420</v>
      </c>
      <c r="G335" s="16">
        <v>2991905.6603773586</v>
      </c>
      <c r="H335" s="37">
        <v>0.34719999999999995</v>
      </c>
      <c r="I335" s="16">
        <v>1038789.6452830187</v>
      </c>
      <c r="J335" s="15"/>
      <c r="K335" s="35" t="s">
        <v>685</v>
      </c>
      <c r="L335" s="36">
        <v>12</v>
      </c>
      <c r="M335" s="36" t="s">
        <v>57</v>
      </c>
      <c r="N335" s="38">
        <v>0</v>
      </c>
      <c r="O335" s="36" t="s">
        <v>29</v>
      </c>
      <c r="P335" s="36"/>
      <c r="Q335" s="39">
        <v>0</v>
      </c>
      <c r="R335" s="40">
        <v>0</v>
      </c>
      <c r="S335" s="39">
        <v>0</v>
      </c>
      <c r="T335" s="39">
        <v>0</v>
      </c>
      <c r="U335" s="39">
        <v>0</v>
      </c>
      <c r="V335" s="40">
        <v>0</v>
      </c>
      <c r="W335" s="39">
        <v>0</v>
      </c>
      <c r="X335" s="39">
        <v>0</v>
      </c>
      <c r="Y335" s="39">
        <v>0</v>
      </c>
      <c r="Z335" s="39">
        <v>0</v>
      </c>
      <c r="AA335" s="39">
        <v>0</v>
      </c>
      <c r="AB335" s="39">
        <v>0</v>
      </c>
      <c r="AC335" s="39" t="s">
        <v>35</v>
      </c>
    </row>
    <row r="336" spans="1:29" ht="16.5" x14ac:dyDescent="0.15">
      <c r="A336" s="35" t="s">
        <v>7</v>
      </c>
      <c r="B336" s="35" t="s">
        <v>679</v>
      </c>
      <c r="C336" s="36"/>
      <c r="D336" s="35" t="s">
        <v>7</v>
      </c>
      <c r="E336" s="14" t="s">
        <v>823</v>
      </c>
      <c r="F336" s="16">
        <v>210000</v>
      </c>
      <c r="G336" s="16">
        <v>198113.20754716979</v>
      </c>
      <c r="H336" s="37">
        <v>0.19839999999999999</v>
      </c>
      <c r="I336" s="16">
        <v>39305.660377358487</v>
      </c>
      <c r="J336" s="15"/>
      <c r="K336" s="92" t="s">
        <v>824</v>
      </c>
      <c r="L336" s="36">
        <v>12</v>
      </c>
      <c r="M336" s="36" t="s">
        <v>57</v>
      </c>
      <c r="N336" s="38">
        <v>0</v>
      </c>
      <c r="O336" s="36" t="s">
        <v>29</v>
      </c>
      <c r="P336" s="36"/>
      <c r="Q336" s="39">
        <v>0.36036655211912944</v>
      </c>
      <c r="R336" s="40">
        <v>0</v>
      </c>
      <c r="S336" s="39">
        <v>0</v>
      </c>
      <c r="T336" s="39">
        <v>0</v>
      </c>
      <c r="U336" s="39">
        <v>0</v>
      </c>
      <c r="V336" s="40">
        <v>0</v>
      </c>
      <c r="W336" s="39">
        <v>0</v>
      </c>
      <c r="X336" s="39">
        <v>0</v>
      </c>
      <c r="Y336" s="39">
        <v>0</v>
      </c>
      <c r="Z336" s="39">
        <v>0</v>
      </c>
      <c r="AA336" s="39">
        <v>0</v>
      </c>
      <c r="AB336" s="39">
        <v>0</v>
      </c>
      <c r="AC336" s="39">
        <v>0</v>
      </c>
    </row>
    <row r="337" spans="1:29" ht="16.5" x14ac:dyDescent="0.15">
      <c r="A337" s="35" t="s">
        <v>7</v>
      </c>
      <c r="B337" s="35" t="s">
        <v>679</v>
      </c>
      <c r="C337" s="36"/>
      <c r="D337" s="35" t="s">
        <v>7</v>
      </c>
      <c r="E337" s="14" t="s">
        <v>825</v>
      </c>
      <c r="F337" s="16">
        <v>1906779.8</v>
      </c>
      <c r="G337" s="16">
        <v>1798848.8679245282</v>
      </c>
      <c r="H337" s="37">
        <v>0.25829999999999997</v>
      </c>
      <c r="I337" s="16">
        <v>464642.66258490557</v>
      </c>
      <c r="J337" s="15"/>
      <c r="K337" s="92" t="s">
        <v>720</v>
      </c>
      <c r="L337" s="36">
        <v>12</v>
      </c>
      <c r="M337" s="36" t="s">
        <v>57</v>
      </c>
      <c r="N337" s="38">
        <v>0</v>
      </c>
      <c r="O337" s="36" t="s">
        <v>29</v>
      </c>
      <c r="P337" s="36"/>
      <c r="Q337" s="39">
        <v>0.31712203542371459</v>
      </c>
      <c r="R337" s="40" t="s">
        <v>826</v>
      </c>
      <c r="S337" s="39" t="e">
        <v>#VALUE!</v>
      </c>
      <c r="T337" s="39" t="e">
        <v>#VALUE!</v>
      </c>
      <c r="U337" s="39">
        <v>0</v>
      </c>
      <c r="V337" s="40">
        <v>0</v>
      </c>
      <c r="W337" s="39">
        <v>0</v>
      </c>
      <c r="X337" s="39">
        <v>0</v>
      </c>
      <c r="Y337" s="39">
        <v>0</v>
      </c>
      <c r="Z337" s="39">
        <v>0</v>
      </c>
      <c r="AA337" s="39">
        <v>0</v>
      </c>
      <c r="AB337" s="39">
        <v>0</v>
      </c>
      <c r="AC337" s="39">
        <v>0</v>
      </c>
    </row>
    <row r="338" spans="1:29" ht="16.5" x14ac:dyDescent="0.15">
      <c r="A338" s="35" t="s">
        <v>7</v>
      </c>
      <c r="B338" s="35" t="s">
        <v>679</v>
      </c>
      <c r="C338" s="36"/>
      <c r="D338" s="35" t="s">
        <v>7</v>
      </c>
      <c r="E338" s="14" t="s">
        <v>827</v>
      </c>
      <c r="F338" s="16">
        <v>82935</v>
      </c>
      <c r="G338" s="16">
        <v>78240.566037735844</v>
      </c>
      <c r="H338" s="37">
        <v>0.30000000000000004</v>
      </c>
      <c r="I338" s="16">
        <v>23472.169811320757</v>
      </c>
      <c r="J338" s="15"/>
      <c r="K338" s="35" t="s">
        <v>694</v>
      </c>
      <c r="L338" s="36">
        <v>12</v>
      </c>
      <c r="M338" s="36" t="s">
        <v>57</v>
      </c>
      <c r="N338" s="38">
        <v>0</v>
      </c>
      <c r="O338" s="36" t="s">
        <v>29</v>
      </c>
      <c r="P338" s="36"/>
      <c r="Q338" s="39">
        <v>0.49655172413793103</v>
      </c>
      <c r="R338" s="40">
        <v>0</v>
      </c>
      <c r="S338" s="39">
        <v>0</v>
      </c>
      <c r="T338" s="39">
        <v>0</v>
      </c>
      <c r="U338" s="39">
        <v>0</v>
      </c>
      <c r="V338" s="40">
        <v>0</v>
      </c>
      <c r="W338" s="39">
        <v>0</v>
      </c>
      <c r="X338" s="39">
        <v>0</v>
      </c>
      <c r="Y338" s="39">
        <v>0</v>
      </c>
      <c r="Z338" s="39">
        <v>0</v>
      </c>
      <c r="AA338" s="39">
        <v>0</v>
      </c>
      <c r="AB338" s="39">
        <v>0</v>
      </c>
      <c r="AC338" s="39">
        <v>0</v>
      </c>
    </row>
    <row r="339" spans="1:29" ht="16.5" x14ac:dyDescent="0.15">
      <c r="A339" s="35" t="s">
        <v>7</v>
      </c>
      <c r="B339" s="35" t="s">
        <v>679</v>
      </c>
      <c r="C339" s="36"/>
      <c r="D339" s="35" t="s">
        <v>7</v>
      </c>
      <c r="E339" s="14" t="s">
        <v>710</v>
      </c>
      <c r="F339" s="16">
        <v>1040000</v>
      </c>
      <c r="G339" s="16">
        <v>981132.07547169807</v>
      </c>
      <c r="H339" s="37">
        <v>9.4E-2</v>
      </c>
      <c r="I339" s="16">
        <v>92226.415094339623</v>
      </c>
      <c r="J339" s="15"/>
      <c r="K339" s="35" t="s">
        <v>692</v>
      </c>
      <c r="L339" s="36">
        <v>12</v>
      </c>
      <c r="M339" s="36" t="s">
        <v>57</v>
      </c>
      <c r="N339" s="38">
        <v>0</v>
      </c>
      <c r="O339" s="36" t="s">
        <v>29</v>
      </c>
      <c r="P339" s="36"/>
      <c r="Q339" s="39">
        <v>0</v>
      </c>
      <c r="R339" s="40">
        <v>0</v>
      </c>
      <c r="S339" s="39">
        <v>0</v>
      </c>
      <c r="T339" s="39">
        <v>0</v>
      </c>
      <c r="U339" s="39">
        <v>0</v>
      </c>
      <c r="V339" s="40">
        <v>0</v>
      </c>
      <c r="W339" s="39">
        <v>0</v>
      </c>
      <c r="X339" s="39">
        <v>0</v>
      </c>
      <c r="Y339" s="39">
        <v>0</v>
      </c>
      <c r="Z339" s="39">
        <v>0</v>
      </c>
      <c r="AA339" s="39">
        <v>0</v>
      </c>
      <c r="AB339" s="39">
        <v>0</v>
      </c>
      <c r="AC339" s="39" t="s">
        <v>35</v>
      </c>
    </row>
    <row r="340" spans="1:29" ht="16.5" x14ac:dyDescent="0.15">
      <c r="A340" s="35" t="s">
        <v>7</v>
      </c>
      <c r="B340" s="35" t="s">
        <v>679</v>
      </c>
      <c r="C340" s="36"/>
      <c r="D340" s="35" t="s">
        <v>7</v>
      </c>
      <c r="E340" s="14" t="s">
        <v>828</v>
      </c>
      <c r="F340" s="16">
        <v>62805.8</v>
      </c>
      <c r="G340" s="16">
        <v>59250.75471698113</v>
      </c>
      <c r="H340" s="37">
        <v>0.30000000000000032</v>
      </c>
      <c r="I340" s="16">
        <v>17775.226415094359</v>
      </c>
      <c r="J340" s="15"/>
      <c r="K340" s="35" t="s">
        <v>692</v>
      </c>
      <c r="L340" s="36">
        <v>12</v>
      </c>
      <c r="M340" s="36" t="s">
        <v>57</v>
      </c>
      <c r="N340" s="38">
        <v>0</v>
      </c>
      <c r="O340" s="36" t="s">
        <v>29</v>
      </c>
      <c r="P340" s="36"/>
      <c r="Q340" s="39">
        <v>0.60278088815097963</v>
      </c>
      <c r="R340" s="40">
        <v>0</v>
      </c>
      <c r="S340" s="39">
        <v>0</v>
      </c>
      <c r="T340" s="39">
        <v>0</v>
      </c>
      <c r="U340" s="39">
        <v>0</v>
      </c>
      <c r="V340" s="40">
        <v>0</v>
      </c>
      <c r="W340" s="39">
        <v>0</v>
      </c>
      <c r="X340" s="39">
        <v>0</v>
      </c>
      <c r="Y340" s="39">
        <v>0</v>
      </c>
      <c r="Z340" s="39">
        <v>0</v>
      </c>
      <c r="AA340" s="39">
        <v>0</v>
      </c>
      <c r="AB340" s="39">
        <v>0</v>
      </c>
      <c r="AC340" s="39">
        <v>0</v>
      </c>
    </row>
    <row r="341" spans="1:29" ht="16.5" x14ac:dyDescent="0.15">
      <c r="A341" s="35" t="s">
        <v>7</v>
      </c>
      <c r="B341" s="35" t="s">
        <v>679</v>
      </c>
      <c r="C341" s="36"/>
      <c r="D341" s="35" t="s">
        <v>7</v>
      </c>
      <c r="E341" s="14" t="s">
        <v>829</v>
      </c>
      <c r="F341" s="16">
        <v>2832.4</v>
      </c>
      <c r="G341" s="16">
        <v>2672.0754716981132</v>
      </c>
      <c r="H341" s="37">
        <v>0.3</v>
      </c>
      <c r="I341" s="16">
        <v>801.62264150943395</v>
      </c>
      <c r="J341" s="15"/>
      <c r="K341" s="35" t="s">
        <v>684</v>
      </c>
      <c r="L341" s="36">
        <v>12</v>
      </c>
      <c r="M341" s="36" t="s">
        <v>57</v>
      </c>
      <c r="N341" s="38">
        <v>0</v>
      </c>
      <c r="O341" s="36" t="s">
        <v>29</v>
      </c>
      <c r="P341" s="36"/>
      <c r="Q341" s="39">
        <v>0.2</v>
      </c>
      <c r="R341" s="40">
        <v>0</v>
      </c>
      <c r="S341" s="39">
        <v>0</v>
      </c>
      <c r="T341" s="39">
        <v>0</v>
      </c>
      <c r="U341" s="39">
        <v>0</v>
      </c>
      <c r="V341" s="40">
        <v>0</v>
      </c>
      <c r="W341" s="39">
        <v>0</v>
      </c>
      <c r="X341" s="39">
        <v>0</v>
      </c>
      <c r="Y341" s="39">
        <v>0</v>
      </c>
      <c r="Z341" s="39">
        <v>0</v>
      </c>
      <c r="AA341" s="39">
        <v>0</v>
      </c>
      <c r="AB341" s="39">
        <v>0</v>
      </c>
      <c r="AC341" s="39">
        <v>0</v>
      </c>
    </row>
    <row r="342" spans="1:29" ht="16.5" x14ac:dyDescent="0.15">
      <c r="A342" s="35" t="s">
        <v>7</v>
      </c>
      <c r="B342" s="35" t="s">
        <v>679</v>
      </c>
      <c r="C342" s="36"/>
      <c r="D342" s="35" t="s">
        <v>7</v>
      </c>
      <c r="E342" s="14" t="s">
        <v>683</v>
      </c>
      <c r="F342" s="16">
        <v>53963.040000000001</v>
      </c>
      <c r="G342" s="16">
        <v>50908.528301886792</v>
      </c>
      <c r="H342" s="37">
        <v>0.3</v>
      </c>
      <c r="I342" s="16">
        <v>15272.558490566036</v>
      </c>
      <c r="J342" s="15"/>
      <c r="K342" s="35" t="s">
        <v>684</v>
      </c>
      <c r="L342" s="36">
        <v>12</v>
      </c>
      <c r="M342" s="36" t="s">
        <v>67</v>
      </c>
      <c r="N342" s="38">
        <v>12311.735849056604</v>
      </c>
      <c r="O342" s="36" t="s">
        <v>29</v>
      </c>
      <c r="P342" s="36"/>
      <c r="Q342" s="39">
        <v>0</v>
      </c>
      <c r="R342" s="40">
        <v>0</v>
      </c>
      <c r="S342" s="39">
        <v>0</v>
      </c>
      <c r="T342" s="39">
        <v>0</v>
      </c>
      <c r="U342" s="39">
        <v>0</v>
      </c>
      <c r="V342" s="40">
        <v>0</v>
      </c>
      <c r="W342" s="39">
        <v>0</v>
      </c>
      <c r="X342" s="39">
        <v>0</v>
      </c>
      <c r="Y342" s="39">
        <v>0</v>
      </c>
      <c r="Z342" s="39">
        <v>0</v>
      </c>
      <c r="AA342" s="39">
        <v>0</v>
      </c>
      <c r="AB342" s="39">
        <v>0</v>
      </c>
      <c r="AC342" s="39" t="s">
        <v>32</v>
      </c>
    </row>
    <row r="343" spans="1:29" ht="16.5" x14ac:dyDescent="0.15">
      <c r="A343" s="35" t="s">
        <v>7</v>
      </c>
      <c r="B343" s="35" t="s">
        <v>679</v>
      </c>
      <c r="C343" s="36"/>
      <c r="D343" s="35" t="s">
        <v>7</v>
      </c>
      <c r="E343" s="14" t="s">
        <v>764</v>
      </c>
      <c r="F343" s="16">
        <v>14280</v>
      </c>
      <c r="G343" s="16">
        <v>13471.698113207547</v>
      </c>
      <c r="H343" s="37">
        <v>0.3</v>
      </c>
      <c r="I343" s="16">
        <v>4041.5094339622638</v>
      </c>
      <c r="J343" s="15"/>
      <c r="K343" s="92" t="s">
        <v>720</v>
      </c>
      <c r="L343" s="36">
        <v>12</v>
      </c>
      <c r="M343" s="36" t="s">
        <v>67</v>
      </c>
      <c r="N343" s="38">
        <v>1212.2641509433961</v>
      </c>
      <c r="O343" s="36" t="s">
        <v>29</v>
      </c>
      <c r="P343" s="36"/>
      <c r="Q343" s="39">
        <v>0</v>
      </c>
      <c r="R343" s="40">
        <v>0</v>
      </c>
      <c r="S343" s="39">
        <v>0</v>
      </c>
      <c r="T343" s="39">
        <v>0</v>
      </c>
      <c r="U343" s="39">
        <v>0</v>
      </c>
      <c r="V343" s="40">
        <v>0</v>
      </c>
      <c r="W343" s="39">
        <v>0</v>
      </c>
      <c r="X343" s="39">
        <v>0</v>
      </c>
      <c r="Y343" s="39">
        <v>0</v>
      </c>
      <c r="Z343" s="39">
        <v>0</v>
      </c>
      <c r="AA343" s="39">
        <v>0</v>
      </c>
      <c r="AB343" s="39">
        <v>0</v>
      </c>
      <c r="AC343" s="39" t="s">
        <v>35</v>
      </c>
    </row>
    <row r="344" spans="1:29" ht="16.5" x14ac:dyDescent="0.15">
      <c r="A344" s="35" t="s">
        <v>7</v>
      </c>
      <c r="B344" s="35" t="s">
        <v>679</v>
      </c>
      <c r="C344" s="36"/>
      <c r="D344" s="35" t="s">
        <v>7</v>
      </c>
      <c r="E344" s="14" t="s">
        <v>766</v>
      </c>
      <c r="F344" s="16">
        <v>48176.800000000003</v>
      </c>
      <c r="G344" s="16">
        <v>45449.811320754714</v>
      </c>
      <c r="H344" s="37">
        <v>0.30000000000000004</v>
      </c>
      <c r="I344" s="16">
        <v>13634.943396226416</v>
      </c>
      <c r="J344" s="15"/>
      <c r="K344" s="92" t="s">
        <v>720</v>
      </c>
      <c r="L344" s="36">
        <v>12</v>
      </c>
      <c r="M344" s="36" t="s">
        <v>67</v>
      </c>
      <c r="N344" s="38">
        <v>4553.5849056603802</v>
      </c>
      <c r="O344" s="36" t="s">
        <v>29</v>
      </c>
      <c r="P344" s="36"/>
      <c r="Q344" s="39">
        <v>0</v>
      </c>
      <c r="R344" s="40">
        <v>0</v>
      </c>
      <c r="S344" s="39">
        <v>0</v>
      </c>
      <c r="T344" s="39">
        <v>0</v>
      </c>
      <c r="U344" s="39">
        <v>0</v>
      </c>
      <c r="V344" s="40">
        <v>0</v>
      </c>
      <c r="W344" s="39">
        <v>0</v>
      </c>
      <c r="X344" s="39">
        <v>0</v>
      </c>
      <c r="Y344" s="39">
        <v>0</v>
      </c>
      <c r="Z344" s="39">
        <v>0</v>
      </c>
      <c r="AA344" s="39">
        <v>0</v>
      </c>
      <c r="AB344" s="39">
        <v>0</v>
      </c>
      <c r="AC344" s="39" t="s">
        <v>35</v>
      </c>
    </row>
    <row r="345" spans="1:29" ht="16.5" x14ac:dyDescent="0.15">
      <c r="A345" s="35" t="s">
        <v>36</v>
      </c>
      <c r="B345" s="35" t="s">
        <v>679</v>
      </c>
      <c r="C345" s="36"/>
      <c r="D345" s="35" t="s">
        <v>36</v>
      </c>
      <c r="E345" s="14" t="s">
        <v>830</v>
      </c>
      <c r="F345" s="16">
        <v>14800.000000000002</v>
      </c>
      <c r="G345" s="16">
        <v>13962.264150943398</v>
      </c>
      <c r="H345" s="37">
        <v>1</v>
      </c>
      <c r="I345" s="16">
        <v>13962.264150943398</v>
      </c>
      <c r="J345" s="15"/>
      <c r="K345" s="92" t="s">
        <v>805</v>
      </c>
      <c r="L345" s="36">
        <v>12</v>
      </c>
      <c r="M345" s="36" t="s">
        <v>57</v>
      </c>
      <c r="N345" s="38">
        <v>0</v>
      </c>
      <c r="O345" s="36" t="s">
        <v>40</v>
      </c>
      <c r="P345" s="36"/>
      <c r="Q345" s="39">
        <v>1</v>
      </c>
      <c r="R345" s="40">
        <v>0</v>
      </c>
      <c r="S345" s="39">
        <v>0</v>
      </c>
      <c r="T345" s="39">
        <v>0</v>
      </c>
      <c r="U345" s="39">
        <v>0</v>
      </c>
      <c r="V345" s="40">
        <v>0</v>
      </c>
      <c r="W345" s="39">
        <v>0</v>
      </c>
      <c r="X345" s="39">
        <v>0</v>
      </c>
      <c r="Y345" s="39">
        <v>0</v>
      </c>
      <c r="Z345" s="39">
        <v>0</v>
      </c>
      <c r="AA345" s="39">
        <v>0</v>
      </c>
      <c r="AB345" s="39">
        <v>0</v>
      </c>
      <c r="AC345" s="39">
        <v>0</v>
      </c>
    </row>
    <row r="346" spans="1:29" ht="16.5" x14ac:dyDescent="0.15">
      <c r="A346" s="35" t="s">
        <v>7</v>
      </c>
      <c r="B346" s="35" t="s">
        <v>679</v>
      </c>
      <c r="C346" s="36"/>
      <c r="D346" s="35" t="s">
        <v>7</v>
      </c>
      <c r="E346" s="14" t="s">
        <v>831</v>
      </c>
      <c r="F346" s="16">
        <v>1132974.55</v>
      </c>
      <c r="G346" s="16">
        <v>1068843.9150943395</v>
      </c>
      <c r="H346" s="37">
        <v>0.3</v>
      </c>
      <c r="I346" s="16">
        <v>320653.17452830187</v>
      </c>
      <c r="J346" s="15"/>
      <c r="K346" s="92" t="s">
        <v>788</v>
      </c>
      <c r="L346" s="36">
        <v>12</v>
      </c>
      <c r="M346" s="36" t="s">
        <v>67</v>
      </c>
      <c r="N346" s="38">
        <v>324519.38679245283</v>
      </c>
      <c r="O346" s="36" t="s">
        <v>29</v>
      </c>
      <c r="P346" s="36"/>
      <c r="Q346" s="39">
        <v>0</v>
      </c>
      <c r="R346" s="40">
        <v>0</v>
      </c>
      <c r="S346" s="39">
        <v>0</v>
      </c>
      <c r="T346" s="39">
        <v>0</v>
      </c>
      <c r="U346" s="39">
        <v>0</v>
      </c>
      <c r="V346" s="40">
        <v>0</v>
      </c>
      <c r="W346" s="39">
        <v>0</v>
      </c>
      <c r="X346" s="39">
        <v>0</v>
      </c>
      <c r="Y346" s="39">
        <v>0</v>
      </c>
      <c r="Z346" s="39">
        <v>0</v>
      </c>
      <c r="AA346" s="39">
        <v>0</v>
      </c>
      <c r="AB346" s="39">
        <v>0</v>
      </c>
      <c r="AC346" s="39" t="s">
        <v>620</v>
      </c>
    </row>
    <row r="347" spans="1:29" ht="16.5" x14ac:dyDescent="0.15">
      <c r="A347" s="35" t="s">
        <v>7</v>
      </c>
      <c r="B347" s="35" t="s">
        <v>679</v>
      </c>
      <c r="C347" s="36"/>
      <c r="D347" s="35" t="s">
        <v>7</v>
      </c>
      <c r="E347" s="14" t="s">
        <v>832</v>
      </c>
      <c r="F347" s="16">
        <v>20975.200000000001</v>
      </c>
      <c r="G347" s="16">
        <v>19787.924528301886</v>
      </c>
      <c r="H347" s="37">
        <v>0.3</v>
      </c>
      <c r="I347" s="16">
        <v>5936.3773584905657</v>
      </c>
      <c r="J347" s="15"/>
      <c r="K347" s="92" t="s">
        <v>788</v>
      </c>
      <c r="L347" s="36">
        <v>12</v>
      </c>
      <c r="M347" s="36" t="s">
        <v>57</v>
      </c>
      <c r="N347" s="38">
        <v>0</v>
      </c>
      <c r="O347" s="36" t="s">
        <v>29</v>
      </c>
      <c r="P347" s="36"/>
      <c r="Q347" s="39">
        <v>0.35228110933643092</v>
      </c>
      <c r="R347" s="40">
        <v>0</v>
      </c>
      <c r="S347" s="39">
        <v>0</v>
      </c>
      <c r="T347" s="39">
        <v>0</v>
      </c>
      <c r="U347" s="39">
        <v>0</v>
      </c>
      <c r="V347" s="40">
        <v>0</v>
      </c>
      <c r="W347" s="39">
        <v>0</v>
      </c>
      <c r="X347" s="39">
        <v>0</v>
      </c>
      <c r="Y347" s="39">
        <v>0</v>
      </c>
      <c r="Z347" s="39">
        <v>0</v>
      </c>
      <c r="AA347" s="39">
        <v>0</v>
      </c>
      <c r="AB347" s="39">
        <v>0</v>
      </c>
      <c r="AC347" s="39">
        <v>0</v>
      </c>
    </row>
    <row r="348" spans="1:29" ht="16.5" x14ac:dyDescent="0.15">
      <c r="A348" s="35" t="s">
        <v>7</v>
      </c>
      <c r="B348" s="35" t="s">
        <v>679</v>
      </c>
      <c r="C348" s="36"/>
      <c r="D348" s="35" t="s">
        <v>7</v>
      </c>
      <c r="E348" s="14" t="s">
        <v>774</v>
      </c>
      <c r="F348" s="16">
        <v>1267680.19</v>
      </c>
      <c r="G348" s="16">
        <v>1195924.7075471696</v>
      </c>
      <c r="H348" s="37">
        <v>0.38410000000000005</v>
      </c>
      <c r="I348" s="16">
        <v>459354.68016886793</v>
      </c>
      <c r="J348" s="15"/>
      <c r="K348" s="35" t="s">
        <v>684</v>
      </c>
      <c r="L348" s="36">
        <v>12</v>
      </c>
      <c r="M348" s="36" t="s">
        <v>67</v>
      </c>
      <c r="N348" s="38">
        <v>94857.53773584908</v>
      </c>
      <c r="O348" s="36" t="s">
        <v>29</v>
      </c>
      <c r="P348" s="36"/>
      <c r="Q348" s="39">
        <v>0</v>
      </c>
      <c r="R348" s="40">
        <v>0</v>
      </c>
      <c r="S348" s="39">
        <v>0</v>
      </c>
      <c r="T348" s="39">
        <v>0</v>
      </c>
      <c r="U348" s="39">
        <v>0</v>
      </c>
      <c r="V348" s="40">
        <v>0</v>
      </c>
      <c r="W348" s="39">
        <v>0</v>
      </c>
      <c r="X348" s="39">
        <v>0</v>
      </c>
      <c r="Y348" s="39">
        <v>0</v>
      </c>
      <c r="Z348" s="39">
        <v>0</v>
      </c>
      <c r="AA348" s="39">
        <v>0</v>
      </c>
      <c r="AB348" s="39">
        <v>0</v>
      </c>
      <c r="AC348" s="39" t="s">
        <v>35</v>
      </c>
    </row>
    <row r="349" spans="1:29" ht="16.5" x14ac:dyDescent="0.15">
      <c r="A349" s="35" t="s">
        <v>7</v>
      </c>
      <c r="B349" s="35" t="s">
        <v>679</v>
      </c>
      <c r="C349" s="36"/>
      <c r="D349" s="35" t="s">
        <v>7</v>
      </c>
      <c r="E349" s="14" t="s">
        <v>744</v>
      </c>
      <c r="F349" s="16">
        <v>7874</v>
      </c>
      <c r="G349" s="16">
        <v>7428.301886792452</v>
      </c>
      <c r="H349" s="37">
        <v>0.30000000000000004</v>
      </c>
      <c r="I349" s="16">
        <v>2228.4905660377358</v>
      </c>
      <c r="J349" s="15"/>
      <c r="K349" s="35" t="s">
        <v>692</v>
      </c>
      <c r="L349" s="36">
        <v>12</v>
      </c>
      <c r="M349" s="36" t="s">
        <v>67</v>
      </c>
      <c r="N349" s="38">
        <v>-629.24528301886789</v>
      </c>
      <c r="O349" s="36" t="s">
        <v>29</v>
      </c>
      <c r="P349" s="36"/>
      <c r="Q349" s="39">
        <v>0</v>
      </c>
      <c r="R349" s="40">
        <v>0</v>
      </c>
      <c r="S349" s="39">
        <v>0</v>
      </c>
      <c r="T349" s="39">
        <v>0</v>
      </c>
      <c r="U349" s="39">
        <v>0</v>
      </c>
      <c r="V349" s="40">
        <v>0</v>
      </c>
      <c r="W349" s="39">
        <v>0</v>
      </c>
      <c r="X349" s="39">
        <v>0</v>
      </c>
      <c r="Y349" s="39">
        <v>0</v>
      </c>
      <c r="Z349" s="39">
        <v>0</v>
      </c>
      <c r="AA349" s="39">
        <v>0</v>
      </c>
      <c r="AB349" s="39">
        <v>0</v>
      </c>
      <c r="AC349" s="39" t="s">
        <v>35</v>
      </c>
    </row>
    <row r="350" spans="1:29" ht="16.5" x14ac:dyDescent="0.15">
      <c r="A350" s="35" t="s">
        <v>7</v>
      </c>
      <c r="B350" s="35" t="s">
        <v>679</v>
      </c>
      <c r="C350" s="36"/>
      <c r="D350" s="35" t="s">
        <v>7</v>
      </c>
      <c r="E350" s="14" t="s">
        <v>827</v>
      </c>
      <c r="F350" s="16">
        <v>104760</v>
      </c>
      <c r="G350" s="16">
        <v>98830.188679245271</v>
      </c>
      <c r="H350" s="37">
        <v>0.30000000000000004</v>
      </c>
      <c r="I350" s="16">
        <v>29649.056603773584</v>
      </c>
      <c r="J350" s="15"/>
      <c r="K350" s="35" t="s">
        <v>694</v>
      </c>
      <c r="L350" s="36">
        <v>12</v>
      </c>
      <c r="M350" s="36" t="s">
        <v>57</v>
      </c>
      <c r="N350" s="38">
        <v>0</v>
      </c>
      <c r="O350" s="36" t="s">
        <v>29</v>
      </c>
      <c r="P350" s="36"/>
      <c r="Q350" s="39">
        <v>0.49655172413793103</v>
      </c>
      <c r="R350" s="40">
        <v>0</v>
      </c>
      <c r="S350" s="39">
        <v>0</v>
      </c>
      <c r="T350" s="39">
        <v>0</v>
      </c>
      <c r="U350" s="39">
        <v>0</v>
      </c>
      <c r="V350" s="40">
        <v>0</v>
      </c>
      <c r="W350" s="39">
        <v>0</v>
      </c>
      <c r="X350" s="39">
        <v>0</v>
      </c>
      <c r="Y350" s="39">
        <v>0</v>
      </c>
      <c r="Z350" s="39">
        <v>0</v>
      </c>
      <c r="AA350" s="39">
        <v>0</v>
      </c>
      <c r="AB350" s="39">
        <v>0</v>
      </c>
      <c r="AC350" s="39">
        <v>0</v>
      </c>
    </row>
    <row r="351" spans="1:29" ht="16.5" x14ac:dyDescent="0.15">
      <c r="A351" s="35" t="s">
        <v>7</v>
      </c>
      <c r="B351" s="35" t="s">
        <v>679</v>
      </c>
      <c r="C351" s="36"/>
      <c r="D351" s="35" t="s">
        <v>7</v>
      </c>
      <c r="E351" s="14" t="s">
        <v>776</v>
      </c>
      <c r="F351" s="16">
        <v>4192893.23</v>
      </c>
      <c r="G351" s="16">
        <v>3955559.6509433961</v>
      </c>
      <c r="H351" s="37">
        <v>0.4582</v>
      </c>
      <c r="I351" s="16">
        <v>1812437.4320622641</v>
      </c>
      <c r="J351" s="15"/>
      <c r="K351" s="35" t="s">
        <v>684</v>
      </c>
      <c r="L351" s="36">
        <v>12</v>
      </c>
      <c r="M351" s="36" t="s">
        <v>67</v>
      </c>
      <c r="N351" s="38">
        <v>555311.70356995403</v>
      </c>
      <c r="O351" s="36" t="s">
        <v>29</v>
      </c>
      <c r="P351" s="36"/>
      <c r="Q351" s="39">
        <v>0</v>
      </c>
      <c r="R351" s="40">
        <v>0</v>
      </c>
      <c r="S351" s="39">
        <v>0</v>
      </c>
      <c r="T351" s="39">
        <v>0</v>
      </c>
      <c r="U351" s="39">
        <v>0</v>
      </c>
      <c r="V351" s="40">
        <v>0</v>
      </c>
      <c r="W351" s="39">
        <v>0</v>
      </c>
      <c r="X351" s="39">
        <v>0</v>
      </c>
      <c r="Y351" s="39">
        <v>0</v>
      </c>
      <c r="Z351" s="39">
        <v>0</v>
      </c>
      <c r="AA351" s="39">
        <v>0</v>
      </c>
      <c r="AB351" s="39">
        <v>0</v>
      </c>
      <c r="AC351" s="39" t="s">
        <v>35</v>
      </c>
    </row>
    <row r="352" spans="1:29" ht="16.5" x14ac:dyDescent="0.15">
      <c r="A352" s="35" t="s">
        <v>7</v>
      </c>
      <c r="B352" s="35" t="s">
        <v>679</v>
      </c>
      <c r="C352" s="36"/>
      <c r="D352" s="35" t="s">
        <v>7</v>
      </c>
      <c r="E352" s="14" t="s">
        <v>757</v>
      </c>
      <c r="F352" s="16">
        <v>5712</v>
      </c>
      <c r="G352" s="16">
        <v>5388.6792452830186</v>
      </c>
      <c r="H352" s="37">
        <v>0.3</v>
      </c>
      <c r="I352" s="16">
        <v>1616.6037735849056</v>
      </c>
      <c r="J352" s="15"/>
      <c r="K352" s="35" t="s">
        <v>691</v>
      </c>
      <c r="L352" s="36">
        <v>12</v>
      </c>
      <c r="M352" s="36" t="s">
        <v>67</v>
      </c>
      <c r="N352" s="38">
        <v>484.90566037735846</v>
      </c>
      <c r="O352" s="36" t="s">
        <v>29</v>
      </c>
      <c r="P352" s="36"/>
      <c r="Q352" s="39">
        <v>0</v>
      </c>
      <c r="R352" s="40">
        <v>0</v>
      </c>
      <c r="S352" s="39">
        <v>0</v>
      </c>
      <c r="T352" s="39">
        <v>0</v>
      </c>
      <c r="U352" s="39">
        <v>0</v>
      </c>
      <c r="V352" s="40">
        <v>0</v>
      </c>
      <c r="W352" s="39">
        <v>0</v>
      </c>
      <c r="X352" s="39">
        <v>0</v>
      </c>
      <c r="Y352" s="39">
        <v>0</v>
      </c>
      <c r="Z352" s="39">
        <v>0</v>
      </c>
      <c r="AA352" s="39">
        <v>0</v>
      </c>
      <c r="AB352" s="39">
        <v>0</v>
      </c>
      <c r="AC352" s="39" t="s">
        <v>32</v>
      </c>
    </row>
    <row r="353" spans="1:29" ht="16.5" x14ac:dyDescent="0.15">
      <c r="A353" s="35" t="s">
        <v>7</v>
      </c>
      <c r="B353" s="35" t="s">
        <v>679</v>
      </c>
      <c r="C353" s="36"/>
      <c r="D353" s="35" t="s">
        <v>7</v>
      </c>
      <c r="E353" s="14" t="s">
        <v>713</v>
      </c>
      <c r="F353" s="16">
        <v>2638864</v>
      </c>
      <c r="G353" s="16">
        <v>2489494.3396226414</v>
      </c>
      <c r="H353" s="37">
        <v>0.17580000000000001</v>
      </c>
      <c r="I353" s="16">
        <v>437653.10490566038</v>
      </c>
      <c r="J353" s="15"/>
      <c r="K353" s="35" t="s">
        <v>692</v>
      </c>
      <c r="L353" s="36">
        <v>12</v>
      </c>
      <c r="M353" s="36" t="s">
        <v>57</v>
      </c>
      <c r="N353" s="38">
        <v>0</v>
      </c>
      <c r="O353" s="36" t="s">
        <v>29</v>
      </c>
      <c r="P353" s="36"/>
      <c r="Q353" s="39">
        <v>0</v>
      </c>
      <c r="R353" s="40">
        <v>0</v>
      </c>
      <c r="S353" s="39">
        <v>0</v>
      </c>
      <c r="T353" s="39">
        <v>0</v>
      </c>
      <c r="U353" s="39">
        <v>0</v>
      </c>
      <c r="V353" s="40">
        <v>0</v>
      </c>
      <c r="W353" s="39">
        <v>0</v>
      </c>
      <c r="X353" s="39">
        <v>0</v>
      </c>
      <c r="Y353" s="39">
        <v>0</v>
      </c>
      <c r="Z353" s="39">
        <v>0</v>
      </c>
      <c r="AA353" s="39">
        <v>0</v>
      </c>
      <c r="AB353" s="39">
        <v>0</v>
      </c>
      <c r="AC353" s="39" t="s">
        <v>35</v>
      </c>
    </row>
    <row r="354" spans="1:29" ht="16.5" x14ac:dyDescent="0.15">
      <c r="A354" s="35" t="s">
        <v>7</v>
      </c>
      <c r="B354" s="35" t="s">
        <v>679</v>
      </c>
      <c r="C354" s="36"/>
      <c r="D354" s="35" t="s">
        <v>7</v>
      </c>
      <c r="E354" s="14" t="s">
        <v>755</v>
      </c>
      <c r="F354" s="16">
        <v>325205</v>
      </c>
      <c r="G354" s="16">
        <v>306797.16981132072</v>
      </c>
      <c r="H354" s="37">
        <v>0.3</v>
      </c>
      <c r="I354" s="16">
        <v>92039.15094339622</v>
      </c>
      <c r="J354" s="15"/>
      <c r="K354" s="35" t="s">
        <v>694</v>
      </c>
      <c r="L354" s="36">
        <v>12</v>
      </c>
      <c r="M354" s="36" t="s">
        <v>67</v>
      </c>
      <c r="N354" s="38">
        <v>26106.915094339638</v>
      </c>
      <c r="O354" s="36" t="s">
        <v>29</v>
      </c>
      <c r="P354" s="36"/>
      <c r="Q354" s="39">
        <v>0</v>
      </c>
      <c r="R354" s="40">
        <v>0</v>
      </c>
      <c r="S354" s="39">
        <v>0</v>
      </c>
      <c r="T354" s="39">
        <v>0</v>
      </c>
      <c r="U354" s="39">
        <v>0</v>
      </c>
      <c r="V354" s="40">
        <v>0</v>
      </c>
      <c r="W354" s="39">
        <v>0</v>
      </c>
      <c r="X354" s="39">
        <v>0</v>
      </c>
      <c r="Y354" s="39">
        <v>0</v>
      </c>
      <c r="Z354" s="39">
        <v>0</v>
      </c>
      <c r="AA354" s="39">
        <v>0</v>
      </c>
      <c r="AB354" s="39">
        <v>0</v>
      </c>
      <c r="AC354" s="39" t="s">
        <v>32</v>
      </c>
    </row>
    <row r="355" spans="1:29" ht="16.5" x14ac:dyDescent="0.15">
      <c r="A355" s="35" t="s">
        <v>7</v>
      </c>
      <c r="B355" s="35" t="s">
        <v>679</v>
      </c>
      <c r="C355" s="36"/>
      <c r="D355" s="35" t="s">
        <v>7</v>
      </c>
      <c r="E355" s="14" t="s">
        <v>770</v>
      </c>
      <c r="F355" s="16">
        <v>56000</v>
      </c>
      <c r="G355" s="16">
        <v>52830.188679245279</v>
      </c>
      <c r="H355" s="37">
        <v>0.30000000000000004</v>
      </c>
      <c r="I355" s="16">
        <v>15849.056603773586</v>
      </c>
      <c r="J355" s="15"/>
      <c r="K355" s="35" t="s">
        <v>684</v>
      </c>
      <c r="L355" s="36">
        <v>12</v>
      </c>
      <c r="M355" s="36" t="s">
        <v>67</v>
      </c>
      <c r="N355" s="38">
        <v>8745.1924528301879</v>
      </c>
      <c r="O355" s="36" t="s">
        <v>29</v>
      </c>
      <c r="P355" s="36"/>
      <c r="Q355" s="39">
        <v>0</v>
      </c>
      <c r="R355" s="40">
        <v>0</v>
      </c>
      <c r="S355" s="39">
        <v>0</v>
      </c>
      <c r="T355" s="39">
        <v>0</v>
      </c>
      <c r="U355" s="39">
        <v>0</v>
      </c>
      <c r="V355" s="40">
        <v>0</v>
      </c>
      <c r="W355" s="39">
        <v>0</v>
      </c>
      <c r="X355" s="39">
        <v>0</v>
      </c>
      <c r="Y355" s="39">
        <v>0</v>
      </c>
      <c r="Z355" s="39">
        <v>0</v>
      </c>
      <c r="AA355" s="39">
        <v>0</v>
      </c>
      <c r="AB355" s="39">
        <v>0</v>
      </c>
      <c r="AC355" s="39" t="s">
        <v>32</v>
      </c>
    </row>
    <row r="356" spans="1:29" ht="16.5" x14ac:dyDescent="0.15">
      <c r="A356" s="35" t="s">
        <v>7</v>
      </c>
      <c r="B356" s="35" t="s">
        <v>679</v>
      </c>
      <c r="C356" s="36"/>
      <c r="D356" s="35" t="s">
        <v>7</v>
      </c>
      <c r="E356" s="14" t="s">
        <v>734</v>
      </c>
      <c r="F356" s="16">
        <v>629976</v>
      </c>
      <c r="G356" s="16">
        <v>594316.98113207542</v>
      </c>
      <c r="H356" s="37">
        <v>0.3</v>
      </c>
      <c r="I356" s="16">
        <v>178295.09433962262</v>
      </c>
      <c r="J356" s="15"/>
      <c r="K356" s="35" t="s">
        <v>694</v>
      </c>
      <c r="L356" s="36">
        <v>12</v>
      </c>
      <c r="M356" s="36" t="s">
        <v>67</v>
      </c>
      <c r="N356" s="38">
        <v>103227.22641509432</v>
      </c>
      <c r="O356" s="36" t="s">
        <v>29</v>
      </c>
      <c r="P356" s="36"/>
      <c r="Q356" s="39">
        <v>0</v>
      </c>
      <c r="R356" s="40">
        <v>0</v>
      </c>
      <c r="S356" s="39">
        <v>0</v>
      </c>
      <c r="T356" s="39">
        <v>0</v>
      </c>
      <c r="U356" s="39">
        <v>0</v>
      </c>
      <c r="V356" s="40">
        <v>0</v>
      </c>
      <c r="W356" s="39">
        <v>0</v>
      </c>
      <c r="X356" s="39">
        <v>0</v>
      </c>
      <c r="Y356" s="39">
        <v>0</v>
      </c>
      <c r="Z356" s="39">
        <v>0</v>
      </c>
      <c r="AA356" s="39">
        <v>0</v>
      </c>
      <c r="AB356" s="39">
        <v>0</v>
      </c>
      <c r="AC356" s="39" t="s">
        <v>35</v>
      </c>
    </row>
    <row r="357" spans="1:29" ht="16.5" x14ac:dyDescent="0.15">
      <c r="A357" s="35" t="s">
        <v>7</v>
      </c>
      <c r="B357" s="35" t="s">
        <v>679</v>
      </c>
      <c r="C357" s="36"/>
      <c r="D357" s="35" t="s">
        <v>7</v>
      </c>
      <c r="E357" s="14" t="s">
        <v>725</v>
      </c>
      <c r="F357" s="16">
        <v>12112503.720000001</v>
      </c>
      <c r="G357" s="16">
        <v>11426890.301886793</v>
      </c>
      <c r="H357" s="37">
        <v>0.40760000000000002</v>
      </c>
      <c r="I357" s="16">
        <v>4657600.4870490571</v>
      </c>
      <c r="J357" s="15"/>
      <c r="K357" s="35" t="s">
        <v>682</v>
      </c>
      <c r="L357" s="36">
        <v>12</v>
      </c>
      <c r="M357" s="36" t="s">
        <v>67</v>
      </c>
      <c r="N357" s="38">
        <v>482965.73120083188</v>
      </c>
      <c r="O357" s="36" t="s">
        <v>29</v>
      </c>
      <c r="P357" s="36"/>
      <c r="Q357" s="39">
        <v>0</v>
      </c>
      <c r="R357" s="40">
        <v>0</v>
      </c>
      <c r="S357" s="39">
        <v>0</v>
      </c>
      <c r="T357" s="39">
        <v>0</v>
      </c>
      <c r="U357" s="39">
        <v>0</v>
      </c>
      <c r="V357" s="40">
        <v>0</v>
      </c>
      <c r="W357" s="39">
        <v>0</v>
      </c>
      <c r="X357" s="39">
        <v>0</v>
      </c>
      <c r="Y357" s="39">
        <v>0</v>
      </c>
      <c r="Z357" s="39">
        <v>0</v>
      </c>
      <c r="AA357" s="39">
        <v>0</v>
      </c>
      <c r="AB357" s="39">
        <v>0</v>
      </c>
      <c r="AC357" s="39" t="s">
        <v>32</v>
      </c>
    </row>
    <row r="358" spans="1:29" ht="16.5" x14ac:dyDescent="0.15">
      <c r="A358" s="35" t="s">
        <v>36</v>
      </c>
      <c r="B358" s="35" t="s">
        <v>679</v>
      </c>
      <c r="C358" s="36"/>
      <c r="D358" s="35" t="s">
        <v>36</v>
      </c>
      <c r="E358" s="14" t="s">
        <v>833</v>
      </c>
      <c r="F358" s="16">
        <v>9900</v>
      </c>
      <c r="G358" s="16">
        <v>9339.6226415094334</v>
      </c>
      <c r="H358" s="37">
        <v>1</v>
      </c>
      <c r="I358" s="16">
        <v>9339.6226415094334</v>
      </c>
      <c r="J358" s="15"/>
      <c r="K358" s="92" t="s">
        <v>805</v>
      </c>
      <c r="L358" s="36">
        <v>12</v>
      </c>
      <c r="M358" s="36" t="s">
        <v>57</v>
      </c>
      <c r="N358" s="38">
        <v>0</v>
      </c>
      <c r="O358" s="36" t="s">
        <v>40</v>
      </c>
      <c r="P358" s="36"/>
      <c r="Q358" s="39">
        <v>0.05</v>
      </c>
      <c r="R358" s="40">
        <v>0</v>
      </c>
      <c r="S358" s="39">
        <v>0</v>
      </c>
      <c r="T358" s="39">
        <v>0</v>
      </c>
      <c r="U358" s="39">
        <v>0</v>
      </c>
      <c r="V358" s="40">
        <v>0</v>
      </c>
      <c r="W358" s="39">
        <v>0</v>
      </c>
      <c r="X358" s="39">
        <v>0</v>
      </c>
      <c r="Y358" s="39">
        <v>0</v>
      </c>
      <c r="Z358" s="39">
        <v>0</v>
      </c>
      <c r="AA358" s="39">
        <v>0</v>
      </c>
      <c r="AB358" s="39">
        <v>0</v>
      </c>
      <c r="AC358" s="39">
        <v>0</v>
      </c>
    </row>
    <row r="359" spans="1:29" ht="16.5" x14ac:dyDescent="0.15">
      <c r="A359" s="35" t="s">
        <v>36</v>
      </c>
      <c r="B359" s="35" t="s">
        <v>679</v>
      </c>
      <c r="C359" s="36"/>
      <c r="D359" s="35" t="s">
        <v>36</v>
      </c>
      <c r="E359" s="14" t="s">
        <v>834</v>
      </c>
      <c r="F359" s="16">
        <v>16020</v>
      </c>
      <c r="G359" s="16">
        <v>15113.20754716981</v>
      </c>
      <c r="H359" s="37">
        <v>0.69725343320848931</v>
      </c>
      <c r="I359" s="16">
        <v>10537.735849056602</v>
      </c>
      <c r="J359" s="15"/>
      <c r="K359" s="92" t="s">
        <v>805</v>
      </c>
      <c r="L359" s="36">
        <v>12</v>
      </c>
      <c r="M359" s="36" t="s">
        <v>57</v>
      </c>
      <c r="N359" s="38">
        <v>0</v>
      </c>
      <c r="O359" s="36" t="s">
        <v>40</v>
      </c>
      <c r="P359" s="36"/>
      <c r="Q359" s="39">
        <v>1</v>
      </c>
      <c r="R359" s="40">
        <v>0</v>
      </c>
      <c r="S359" s="39">
        <v>0</v>
      </c>
      <c r="T359" s="39">
        <v>0</v>
      </c>
      <c r="U359" s="39">
        <v>0</v>
      </c>
      <c r="V359" s="40">
        <v>0</v>
      </c>
      <c r="W359" s="39">
        <v>0</v>
      </c>
      <c r="X359" s="39">
        <v>0</v>
      </c>
      <c r="Y359" s="39">
        <v>0</v>
      </c>
      <c r="Z359" s="39">
        <v>0</v>
      </c>
      <c r="AA359" s="39">
        <v>0</v>
      </c>
      <c r="AB359" s="39">
        <v>0</v>
      </c>
      <c r="AC359" s="39">
        <v>0</v>
      </c>
    </row>
    <row r="360" spans="1:29" ht="16.5" x14ac:dyDescent="0.15">
      <c r="A360" s="35" t="s">
        <v>36</v>
      </c>
      <c r="B360" s="35" t="s">
        <v>679</v>
      </c>
      <c r="C360" s="36"/>
      <c r="D360" s="35" t="s">
        <v>36</v>
      </c>
      <c r="E360" s="14" t="s">
        <v>834</v>
      </c>
      <c r="F360" s="16">
        <v>22380</v>
      </c>
      <c r="G360" s="16">
        <v>19128.205128205129</v>
      </c>
      <c r="H360" s="37">
        <v>-0.10546864832504742</v>
      </c>
      <c r="I360" s="16">
        <v>-2017.4259397560352</v>
      </c>
      <c r="J360" s="15"/>
      <c r="K360" s="92" t="s">
        <v>805</v>
      </c>
      <c r="L360" s="36">
        <v>12</v>
      </c>
      <c r="M360" s="36" t="s">
        <v>57</v>
      </c>
      <c r="N360" s="38">
        <v>0</v>
      </c>
      <c r="O360" s="36" t="s">
        <v>40</v>
      </c>
      <c r="P360" s="36"/>
      <c r="Q360" s="39">
        <v>1</v>
      </c>
      <c r="R360" s="40">
        <v>0</v>
      </c>
      <c r="S360" s="39">
        <v>0</v>
      </c>
      <c r="T360" s="39">
        <v>0</v>
      </c>
      <c r="U360" s="39">
        <v>0</v>
      </c>
      <c r="V360" s="40">
        <v>0</v>
      </c>
      <c r="W360" s="39">
        <v>0</v>
      </c>
      <c r="X360" s="39">
        <v>0</v>
      </c>
      <c r="Y360" s="39">
        <v>0</v>
      </c>
      <c r="Z360" s="39">
        <v>0</v>
      </c>
      <c r="AA360" s="39">
        <v>0</v>
      </c>
      <c r="AB360" s="39">
        <v>0</v>
      </c>
      <c r="AC360" s="39">
        <v>0</v>
      </c>
    </row>
    <row r="361" spans="1:29" ht="16.5" x14ac:dyDescent="0.15">
      <c r="A361" s="35" t="s">
        <v>36</v>
      </c>
      <c r="B361" s="35" t="s">
        <v>679</v>
      </c>
      <c r="C361" s="36"/>
      <c r="D361" s="35" t="s">
        <v>36</v>
      </c>
      <c r="E361" s="14" t="s">
        <v>727</v>
      </c>
      <c r="F361" s="16">
        <v>4372608</v>
      </c>
      <c r="G361" s="16">
        <v>4125101.8867924525</v>
      </c>
      <c r="H361" s="37">
        <v>0.91900000000000015</v>
      </c>
      <c r="I361" s="16">
        <v>3790968.6339622643</v>
      </c>
      <c r="J361" s="15"/>
      <c r="K361" s="35" t="s">
        <v>680</v>
      </c>
      <c r="L361" s="36">
        <v>12</v>
      </c>
      <c r="M361" s="36" t="s">
        <v>57</v>
      </c>
      <c r="N361" s="38">
        <v>0</v>
      </c>
      <c r="O361" s="36" t="s">
        <v>40</v>
      </c>
      <c r="P361" s="36"/>
      <c r="Q361" s="39">
        <v>0</v>
      </c>
      <c r="R361" s="40">
        <v>0</v>
      </c>
      <c r="S361" s="39">
        <v>0</v>
      </c>
      <c r="T361" s="39">
        <v>0</v>
      </c>
      <c r="U361" s="39">
        <v>0</v>
      </c>
      <c r="V361" s="40">
        <v>0</v>
      </c>
      <c r="W361" s="39">
        <v>0</v>
      </c>
      <c r="X361" s="39">
        <v>0</v>
      </c>
      <c r="Y361" s="39">
        <v>0</v>
      </c>
      <c r="Z361" s="39">
        <v>0</v>
      </c>
      <c r="AA361" s="39">
        <v>0</v>
      </c>
      <c r="AB361" s="39">
        <v>0</v>
      </c>
      <c r="AC361" s="39" t="s">
        <v>32</v>
      </c>
    </row>
    <row r="362" spans="1:29" ht="16.5" x14ac:dyDescent="0.15">
      <c r="A362" s="35" t="s">
        <v>36</v>
      </c>
      <c r="B362" s="35" t="s">
        <v>679</v>
      </c>
      <c r="C362" s="36"/>
      <c r="D362" s="35" t="s">
        <v>36</v>
      </c>
      <c r="E362" s="14" t="s">
        <v>727</v>
      </c>
      <c r="F362" s="16">
        <v>3848723</v>
      </c>
      <c r="G362" s="16">
        <v>3289506.837606838</v>
      </c>
      <c r="H362" s="37">
        <v>0.13350000000000001</v>
      </c>
      <c r="I362" s="16">
        <v>439149.16282051289</v>
      </c>
      <c r="J362" s="15"/>
      <c r="K362" s="35" t="s">
        <v>680</v>
      </c>
      <c r="L362" s="36">
        <v>12</v>
      </c>
      <c r="M362" s="36" t="s">
        <v>57</v>
      </c>
      <c r="N362" s="38">
        <v>0</v>
      </c>
      <c r="O362" s="36" t="s">
        <v>40</v>
      </c>
      <c r="P362" s="36"/>
      <c r="Q362" s="39">
        <v>0</v>
      </c>
      <c r="R362" s="40">
        <v>0</v>
      </c>
      <c r="S362" s="39">
        <v>0</v>
      </c>
      <c r="T362" s="39">
        <v>0</v>
      </c>
      <c r="U362" s="39">
        <v>0</v>
      </c>
      <c r="V362" s="40">
        <v>0</v>
      </c>
      <c r="W362" s="39">
        <v>0</v>
      </c>
      <c r="X362" s="39">
        <v>0</v>
      </c>
      <c r="Y362" s="39">
        <v>0</v>
      </c>
      <c r="Z362" s="39">
        <v>0</v>
      </c>
      <c r="AA362" s="39">
        <v>0</v>
      </c>
      <c r="AB362" s="39">
        <v>0</v>
      </c>
      <c r="AC362" s="39" t="s">
        <v>32</v>
      </c>
    </row>
    <row r="363" spans="1:29" ht="16.5" x14ac:dyDescent="0.15">
      <c r="A363" s="35" t="s">
        <v>36</v>
      </c>
      <c r="B363" s="35" t="s">
        <v>679</v>
      </c>
      <c r="C363" s="36"/>
      <c r="D363" s="35" t="s">
        <v>36</v>
      </c>
      <c r="E363" s="14" t="s">
        <v>780</v>
      </c>
      <c r="F363" s="16">
        <v>269000</v>
      </c>
      <c r="G363" s="16">
        <v>253773.58490566036</v>
      </c>
      <c r="H363" s="37">
        <v>0.98140000000000016</v>
      </c>
      <c r="I363" s="16">
        <v>249053.39622641512</v>
      </c>
      <c r="J363" s="15"/>
      <c r="K363" s="35" t="s">
        <v>680</v>
      </c>
      <c r="L363" s="36">
        <v>12</v>
      </c>
      <c r="M363" s="36" t="s">
        <v>57</v>
      </c>
      <c r="N363" s="38">
        <v>0</v>
      </c>
      <c r="O363" s="36" t="s">
        <v>40</v>
      </c>
      <c r="P363" s="36"/>
      <c r="Q363" s="39">
        <v>0</v>
      </c>
      <c r="R363" s="40">
        <v>0</v>
      </c>
      <c r="S363" s="39">
        <v>0</v>
      </c>
      <c r="T363" s="39">
        <v>0</v>
      </c>
      <c r="U363" s="39">
        <v>0</v>
      </c>
      <c r="V363" s="40">
        <v>0</v>
      </c>
      <c r="W363" s="39">
        <v>0</v>
      </c>
      <c r="X363" s="39">
        <v>0</v>
      </c>
      <c r="Y363" s="39">
        <v>0</v>
      </c>
      <c r="Z363" s="39">
        <v>0</v>
      </c>
      <c r="AA363" s="39">
        <v>0</v>
      </c>
      <c r="AB363" s="39">
        <v>0</v>
      </c>
      <c r="AC363" s="39" t="s">
        <v>108</v>
      </c>
    </row>
    <row r="364" spans="1:29" ht="16.5" x14ac:dyDescent="0.15">
      <c r="A364" s="35" t="s">
        <v>7</v>
      </c>
      <c r="B364" s="35" t="s">
        <v>679</v>
      </c>
      <c r="C364" s="36"/>
      <c r="D364" s="35" t="s">
        <v>7</v>
      </c>
      <c r="E364" s="14" t="s">
        <v>835</v>
      </c>
      <c r="F364" s="16">
        <v>18420.3</v>
      </c>
      <c r="G364" s="16">
        <v>17377.641509433961</v>
      </c>
      <c r="H364" s="37">
        <v>0.3</v>
      </c>
      <c r="I364" s="16">
        <v>5213.2924528301883</v>
      </c>
      <c r="J364" s="15"/>
      <c r="K364" s="92" t="s">
        <v>702</v>
      </c>
      <c r="L364" s="36">
        <v>12</v>
      </c>
      <c r="M364" s="36" t="s">
        <v>67</v>
      </c>
      <c r="N364" s="38">
        <v>1962.5471698113206</v>
      </c>
      <c r="O364" s="36" t="s">
        <v>29</v>
      </c>
      <c r="P364" s="36"/>
      <c r="Q364" s="39">
        <v>0</v>
      </c>
      <c r="R364" s="40">
        <v>0</v>
      </c>
      <c r="S364" s="39">
        <v>0</v>
      </c>
      <c r="T364" s="39">
        <v>0</v>
      </c>
      <c r="U364" s="39">
        <v>0</v>
      </c>
      <c r="V364" s="40">
        <v>0</v>
      </c>
      <c r="W364" s="39">
        <v>0</v>
      </c>
      <c r="X364" s="39">
        <v>0</v>
      </c>
      <c r="Y364" s="39">
        <v>0</v>
      </c>
      <c r="Z364" s="39">
        <v>0</v>
      </c>
      <c r="AA364" s="39">
        <v>0</v>
      </c>
      <c r="AB364" s="39">
        <v>0</v>
      </c>
      <c r="AC364" s="39" t="s">
        <v>32</v>
      </c>
    </row>
    <row r="365" spans="1:29" ht="16.5" x14ac:dyDescent="0.15">
      <c r="A365" s="35" t="s">
        <v>7</v>
      </c>
      <c r="B365" s="35" t="s">
        <v>679</v>
      </c>
      <c r="C365" s="36"/>
      <c r="D365" s="35" t="s">
        <v>7</v>
      </c>
      <c r="E365" s="14" t="s">
        <v>836</v>
      </c>
      <c r="F365" s="16">
        <v>22795</v>
      </c>
      <c r="G365" s="16">
        <v>21504.716981132075</v>
      </c>
      <c r="H365" s="37">
        <v>0.3</v>
      </c>
      <c r="I365" s="16">
        <v>6451.4150943396226</v>
      </c>
      <c r="J365" s="15"/>
      <c r="K365" s="35" t="s">
        <v>684</v>
      </c>
      <c r="L365" s="36">
        <v>12</v>
      </c>
      <c r="M365" s="36" t="s">
        <v>57</v>
      </c>
      <c r="N365" s="38">
        <v>0</v>
      </c>
      <c r="O365" s="36" t="s">
        <v>29</v>
      </c>
      <c r="P365" s="36"/>
      <c r="Q365" s="39">
        <v>0.4</v>
      </c>
      <c r="R365" s="40">
        <v>0</v>
      </c>
      <c r="S365" s="39">
        <v>0</v>
      </c>
      <c r="T365" s="39">
        <v>0</v>
      </c>
      <c r="U365" s="39">
        <v>0</v>
      </c>
      <c r="V365" s="40">
        <v>0</v>
      </c>
      <c r="W365" s="39">
        <v>0</v>
      </c>
      <c r="X365" s="39">
        <v>0</v>
      </c>
      <c r="Y365" s="39">
        <v>0</v>
      </c>
      <c r="Z365" s="39">
        <v>0</v>
      </c>
      <c r="AA365" s="39">
        <v>0</v>
      </c>
      <c r="AB365" s="39">
        <v>0</v>
      </c>
      <c r="AC365" s="39">
        <v>0</v>
      </c>
    </row>
    <row r="366" spans="1:29" ht="16.5" x14ac:dyDescent="0.15">
      <c r="A366" s="35" t="s">
        <v>7</v>
      </c>
      <c r="B366" s="35" t="s">
        <v>679</v>
      </c>
      <c r="C366" s="36"/>
      <c r="D366" s="35" t="s">
        <v>7</v>
      </c>
      <c r="E366" s="14" t="s">
        <v>749</v>
      </c>
      <c r="F366" s="16">
        <v>5321.76</v>
      </c>
      <c r="G366" s="16">
        <v>5020.5283018867922</v>
      </c>
      <c r="H366" s="37">
        <v>0.3</v>
      </c>
      <c r="I366" s="16">
        <v>1506.1584905660377</v>
      </c>
      <c r="J366" s="15"/>
      <c r="K366" s="92" t="s">
        <v>702</v>
      </c>
      <c r="L366" s="36">
        <v>12</v>
      </c>
      <c r="M366" s="36" t="s">
        <v>57</v>
      </c>
      <c r="N366" s="38">
        <v>0</v>
      </c>
      <c r="O366" s="36" t="s">
        <v>29</v>
      </c>
      <c r="P366" s="36"/>
      <c r="Q366" s="39">
        <v>0.25799524857784273</v>
      </c>
      <c r="R366" s="40">
        <v>0</v>
      </c>
      <c r="S366" s="39">
        <v>0</v>
      </c>
      <c r="T366" s="39">
        <v>0</v>
      </c>
      <c r="U366" s="39">
        <v>0</v>
      </c>
      <c r="V366" s="40">
        <v>0</v>
      </c>
      <c r="W366" s="39">
        <v>0</v>
      </c>
      <c r="X366" s="39">
        <v>0</v>
      </c>
      <c r="Y366" s="39">
        <v>0</v>
      </c>
      <c r="Z366" s="39">
        <v>0</v>
      </c>
      <c r="AA366" s="39">
        <v>0</v>
      </c>
      <c r="AB366" s="39">
        <v>0</v>
      </c>
      <c r="AC366" s="39">
        <v>0</v>
      </c>
    </row>
    <row r="367" spans="1:29" ht="16.5" x14ac:dyDescent="0.15">
      <c r="A367" s="35" t="s">
        <v>7</v>
      </c>
      <c r="B367" s="35" t="s">
        <v>679</v>
      </c>
      <c r="C367" s="36"/>
      <c r="D367" s="35" t="s">
        <v>7</v>
      </c>
      <c r="E367" s="14" t="s">
        <v>686</v>
      </c>
      <c r="F367" s="16">
        <v>231644.99</v>
      </c>
      <c r="G367" s="16">
        <v>218533.00943396223</v>
      </c>
      <c r="H367" s="37">
        <v>0.42380000000000001</v>
      </c>
      <c r="I367" s="16">
        <v>92614.289398113193</v>
      </c>
      <c r="J367" s="15"/>
      <c r="K367" s="35" t="s">
        <v>682</v>
      </c>
      <c r="L367" s="36">
        <v>12</v>
      </c>
      <c r="M367" s="36" t="s">
        <v>57</v>
      </c>
      <c r="N367" s="38">
        <v>0</v>
      </c>
      <c r="O367" s="36" t="s">
        <v>29</v>
      </c>
      <c r="P367" s="36"/>
      <c r="Q367" s="39">
        <v>0</v>
      </c>
      <c r="R367" s="40">
        <v>0</v>
      </c>
      <c r="S367" s="39">
        <v>0</v>
      </c>
      <c r="T367" s="39">
        <v>0</v>
      </c>
      <c r="U367" s="39">
        <v>0</v>
      </c>
      <c r="V367" s="40">
        <v>0</v>
      </c>
      <c r="W367" s="39">
        <v>0</v>
      </c>
      <c r="X367" s="39">
        <v>0</v>
      </c>
      <c r="Y367" s="39">
        <v>0</v>
      </c>
      <c r="Z367" s="39">
        <v>0</v>
      </c>
      <c r="AA367" s="39">
        <v>0</v>
      </c>
      <c r="AB367" s="39">
        <v>0</v>
      </c>
      <c r="AC367" s="39" t="s">
        <v>35</v>
      </c>
    </row>
    <row r="368" spans="1:29" ht="16.5" x14ac:dyDescent="0.15">
      <c r="A368" s="35" t="s">
        <v>7</v>
      </c>
      <c r="B368" s="35" t="s">
        <v>679</v>
      </c>
      <c r="C368" s="36"/>
      <c r="D368" s="35" t="s">
        <v>7</v>
      </c>
      <c r="E368" s="14" t="s">
        <v>687</v>
      </c>
      <c r="F368" s="16">
        <v>152001.57</v>
      </c>
      <c r="G368" s="16">
        <v>143397.70754716982</v>
      </c>
      <c r="H368" s="37">
        <v>0.20989999999999998</v>
      </c>
      <c r="I368" s="16">
        <v>30099.178814150942</v>
      </c>
      <c r="J368" s="15"/>
      <c r="K368" s="35" t="s">
        <v>682</v>
      </c>
      <c r="L368" s="36">
        <v>12</v>
      </c>
      <c r="M368" s="36" t="s">
        <v>57</v>
      </c>
      <c r="N368" s="38">
        <v>0</v>
      </c>
      <c r="O368" s="36" t="s">
        <v>29</v>
      </c>
      <c r="P368" s="36"/>
      <c r="Q368" s="39">
        <v>0</v>
      </c>
      <c r="R368" s="40">
        <v>0</v>
      </c>
      <c r="S368" s="39">
        <v>0</v>
      </c>
      <c r="T368" s="39">
        <v>0</v>
      </c>
      <c r="U368" s="39">
        <v>0</v>
      </c>
      <c r="V368" s="40">
        <v>0</v>
      </c>
      <c r="W368" s="39">
        <v>0</v>
      </c>
      <c r="X368" s="39">
        <v>0</v>
      </c>
      <c r="Y368" s="39">
        <v>0</v>
      </c>
      <c r="Z368" s="39">
        <v>0</v>
      </c>
      <c r="AA368" s="39">
        <v>0</v>
      </c>
      <c r="AB368" s="39">
        <v>0</v>
      </c>
      <c r="AC368" s="39" t="s">
        <v>35</v>
      </c>
    </row>
    <row r="369" spans="1:29" ht="16.5" x14ac:dyDescent="0.15">
      <c r="A369" s="35" t="s">
        <v>7</v>
      </c>
      <c r="B369" s="35" t="s">
        <v>679</v>
      </c>
      <c r="C369" s="36"/>
      <c r="D369" s="35" t="s">
        <v>7</v>
      </c>
      <c r="E369" s="14" t="s">
        <v>681</v>
      </c>
      <c r="F369" s="16">
        <v>169369.39999999997</v>
      </c>
      <c r="G369" s="16">
        <v>159782.45283018865</v>
      </c>
      <c r="H369" s="37">
        <v>0.3</v>
      </c>
      <c r="I369" s="16">
        <v>47934.735849056589</v>
      </c>
      <c r="J369" s="15"/>
      <c r="K369" s="35" t="s">
        <v>682</v>
      </c>
      <c r="L369" s="36">
        <v>12</v>
      </c>
      <c r="M369" s="36" t="s">
        <v>57</v>
      </c>
      <c r="N369" s="38">
        <v>0</v>
      </c>
      <c r="O369" s="36" t="s">
        <v>29</v>
      </c>
      <c r="P369" s="36"/>
      <c r="Q369" s="39">
        <v>0</v>
      </c>
      <c r="R369" s="40">
        <v>0</v>
      </c>
      <c r="S369" s="39">
        <v>0</v>
      </c>
      <c r="T369" s="39">
        <v>0</v>
      </c>
      <c r="U369" s="39">
        <v>0</v>
      </c>
      <c r="V369" s="40">
        <v>0</v>
      </c>
      <c r="W369" s="39">
        <v>0</v>
      </c>
      <c r="X369" s="39">
        <v>0</v>
      </c>
      <c r="Y369" s="39">
        <v>0</v>
      </c>
      <c r="Z369" s="39">
        <v>0</v>
      </c>
      <c r="AA369" s="39">
        <v>0</v>
      </c>
      <c r="AB369" s="39">
        <v>0</v>
      </c>
      <c r="AC369" s="39" t="s">
        <v>35</v>
      </c>
    </row>
    <row r="370" spans="1:29" ht="16.5" x14ac:dyDescent="0.15">
      <c r="A370" s="35" t="s">
        <v>7</v>
      </c>
      <c r="B370" s="35" t="s">
        <v>679</v>
      </c>
      <c r="C370" s="36"/>
      <c r="D370" s="35" t="s">
        <v>7</v>
      </c>
      <c r="E370" s="14" t="s">
        <v>837</v>
      </c>
      <c r="F370" s="16">
        <v>49317</v>
      </c>
      <c r="G370" s="16">
        <v>46525.471698113208</v>
      </c>
      <c r="H370" s="37">
        <v>0.3</v>
      </c>
      <c r="I370" s="16">
        <v>13957.641509433963</v>
      </c>
      <c r="J370" s="15"/>
      <c r="K370" s="92" t="s">
        <v>720</v>
      </c>
      <c r="L370" s="36">
        <v>12</v>
      </c>
      <c r="M370" s="36" t="s">
        <v>57</v>
      </c>
      <c r="N370" s="38">
        <v>0</v>
      </c>
      <c r="O370" s="36" t="s">
        <v>29</v>
      </c>
      <c r="P370" s="36"/>
      <c r="Q370" s="39">
        <v>0.4</v>
      </c>
      <c r="R370" s="40">
        <v>0</v>
      </c>
      <c r="S370" s="39">
        <v>0</v>
      </c>
      <c r="T370" s="39">
        <v>0</v>
      </c>
      <c r="U370" s="39">
        <v>0</v>
      </c>
      <c r="V370" s="40">
        <v>0</v>
      </c>
      <c r="W370" s="39">
        <v>0</v>
      </c>
      <c r="X370" s="39">
        <v>0</v>
      </c>
      <c r="Y370" s="39">
        <v>0</v>
      </c>
      <c r="Z370" s="39">
        <v>0</v>
      </c>
      <c r="AA370" s="39">
        <v>0</v>
      </c>
      <c r="AB370" s="39">
        <v>0</v>
      </c>
      <c r="AC370" s="39">
        <v>0</v>
      </c>
    </row>
    <row r="371" spans="1:29" ht="16.5" x14ac:dyDescent="0.15">
      <c r="A371" s="35" t="s">
        <v>7</v>
      </c>
      <c r="B371" s="35" t="s">
        <v>679</v>
      </c>
      <c r="C371" s="36"/>
      <c r="D371" s="35" t="s">
        <v>7</v>
      </c>
      <c r="E371" s="14" t="s">
        <v>838</v>
      </c>
      <c r="F371" s="16">
        <v>26190</v>
      </c>
      <c r="G371" s="16">
        <v>24707.547169811318</v>
      </c>
      <c r="H371" s="37">
        <v>0.30000000000000004</v>
      </c>
      <c r="I371" s="16">
        <v>7412.2641509433961</v>
      </c>
      <c r="J371" s="15"/>
      <c r="K371" s="92" t="s">
        <v>711</v>
      </c>
      <c r="L371" s="36">
        <v>12</v>
      </c>
      <c r="M371" s="36" t="s">
        <v>57</v>
      </c>
      <c r="N371" s="38">
        <v>0</v>
      </c>
      <c r="O371" s="36" t="s">
        <v>29</v>
      </c>
      <c r="P371" s="36"/>
      <c r="Q371" s="39">
        <v>1</v>
      </c>
      <c r="R371" s="40">
        <v>0</v>
      </c>
      <c r="S371" s="39">
        <v>0</v>
      </c>
      <c r="T371" s="39">
        <v>0</v>
      </c>
      <c r="U371" s="39">
        <v>0</v>
      </c>
      <c r="V371" s="40">
        <v>0</v>
      </c>
      <c r="W371" s="39">
        <v>0</v>
      </c>
      <c r="X371" s="39">
        <v>0</v>
      </c>
      <c r="Y371" s="39">
        <v>0</v>
      </c>
      <c r="Z371" s="39">
        <v>0</v>
      </c>
      <c r="AA371" s="39">
        <v>0</v>
      </c>
      <c r="AB371" s="39">
        <v>0</v>
      </c>
      <c r="AC371" s="39">
        <v>0</v>
      </c>
    </row>
    <row r="372" spans="1:29" ht="16.5" x14ac:dyDescent="0.15">
      <c r="A372" s="35" t="s">
        <v>7</v>
      </c>
      <c r="B372" s="35" t="s">
        <v>679</v>
      </c>
      <c r="C372" s="36"/>
      <c r="D372" s="35" t="s">
        <v>7</v>
      </c>
      <c r="E372" s="14" t="s">
        <v>753</v>
      </c>
      <c r="F372" s="16">
        <v>72030</v>
      </c>
      <c r="G372" s="16">
        <v>67952.830188679247</v>
      </c>
      <c r="H372" s="37">
        <v>0.29999999999999993</v>
      </c>
      <c r="I372" s="16">
        <v>20385.849056603769</v>
      </c>
      <c r="J372" s="15"/>
      <c r="K372" s="92" t="s">
        <v>788</v>
      </c>
      <c r="L372" s="36">
        <v>12</v>
      </c>
      <c r="M372" s="36" t="s">
        <v>67</v>
      </c>
      <c r="N372" s="38">
        <v>9345.6295324260464</v>
      </c>
      <c r="O372" s="36" t="s">
        <v>29</v>
      </c>
      <c r="P372" s="36"/>
      <c r="Q372" s="39">
        <v>0</v>
      </c>
      <c r="R372" s="40">
        <v>0</v>
      </c>
      <c r="S372" s="39">
        <v>0</v>
      </c>
      <c r="T372" s="39">
        <v>0</v>
      </c>
      <c r="U372" s="39">
        <v>0</v>
      </c>
      <c r="V372" s="40">
        <v>0</v>
      </c>
      <c r="W372" s="39">
        <v>0</v>
      </c>
      <c r="X372" s="39">
        <v>0</v>
      </c>
      <c r="Y372" s="39">
        <v>0</v>
      </c>
      <c r="Z372" s="39">
        <v>0</v>
      </c>
      <c r="AA372" s="39">
        <v>0</v>
      </c>
      <c r="AB372" s="39">
        <v>0</v>
      </c>
      <c r="AC372" s="39" t="s">
        <v>32</v>
      </c>
    </row>
    <row r="373" spans="1:29" ht="16.5" x14ac:dyDescent="0.15">
      <c r="A373" s="35" t="s">
        <v>36</v>
      </c>
      <c r="B373" s="35" t="s">
        <v>679</v>
      </c>
      <c r="C373" s="36"/>
      <c r="D373" s="35" t="s">
        <v>36</v>
      </c>
      <c r="E373" s="14" t="s">
        <v>723</v>
      </c>
      <c r="F373" s="16">
        <v>142800</v>
      </c>
      <c r="G373" s="16">
        <v>134716.98113207545</v>
      </c>
      <c r="H373" s="37">
        <v>1</v>
      </c>
      <c r="I373" s="16">
        <v>134716.98113207545</v>
      </c>
      <c r="J373" s="15"/>
      <c r="K373" s="35" t="s">
        <v>680</v>
      </c>
      <c r="L373" s="36">
        <v>12</v>
      </c>
      <c r="M373" s="36" t="s">
        <v>57</v>
      </c>
      <c r="N373" s="38">
        <v>0</v>
      </c>
      <c r="O373" s="36" t="s">
        <v>40</v>
      </c>
      <c r="P373" s="36"/>
      <c r="Q373" s="39">
        <v>0</v>
      </c>
      <c r="R373" s="40">
        <v>0</v>
      </c>
      <c r="S373" s="39">
        <v>0</v>
      </c>
      <c r="T373" s="39">
        <v>0</v>
      </c>
      <c r="U373" s="39">
        <v>0</v>
      </c>
      <c r="V373" s="40">
        <v>0</v>
      </c>
      <c r="W373" s="39">
        <v>0</v>
      </c>
      <c r="X373" s="39">
        <v>0</v>
      </c>
      <c r="Y373" s="39">
        <v>0</v>
      </c>
      <c r="Z373" s="39">
        <v>0</v>
      </c>
      <c r="AA373" s="39">
        <v>0</v>
      </c>
      <c r="AB373" s="39">
        <v>0</v>
      </c>
      <c r="AC373" s="39" t="s">
        <v>32</v>
      </c>
    </row>
    <row r="374" spans="1:29" ht="16.5" x14ac:dyDescent="0.15">
      <c r="A374" s="35" t="s">
        <v>7</v>
      </c>
      <c r="B374" s="35" t="s">
        <v>679</v>
      </c>
      <c r="C374" s="36"/>
      <c r="D374" s="35" t="s">
        <v>7</v>
      </c>
      <c r="E374" s="14" t="s">
        <v>770</v>
      </c>
      <c r="F374" s="16">
        <v>14000</v>
      </c>
      <c r="G374" s="16">
        <v>13207.54716981132</v>
      </c>
      <c r="H374" s="37">
        <v>0.30000000000000004</v>
      </c>
      <c r="I374" s="16">
        <v>3962.2641509433965</v>
      </c>
      <c r="J374" s="15"/>
      <c r="K374" s="35" t="s">
        <v>684</v>
      </c>
      <c r="L374" s="36">
        <v>12</v>
      </c>
      <c r="M374" s="36" t="s">
        <v>67</v>
      </c>
      <c r="N374" s="38">
        <v>8745.1924528301879</v>
      </c>
      <c r="O374" s="36" t="s">
        <v>29</v>
      </c>
      <c r="P374" s="36"/>
      <c r="Q374" s="39">
        <v>0</v>
      </c>
      <c r="R374" s="40">
        <v>0</v>
      </c>
      <c r="S374" s="39">
        <v>0</v>
      </c>
      <c r="T374" s="39">
        <v>0</v>
      </c>
      <c r="U374" s="39">
        <v>0</v>
      </c>
      <c r="V374" s="40">
        <v>0</v>
      </c>
      <c r="W374" s="39">
        <v>0</v>
      </c>
      <c r="X374" s="39">
        <v>0</v>
      </c>
      <c r="Y374" s="39">
        <v>0</v>
      </c>
      <c r="Z374" s="39">
        <v>0</v>
      </c>
      <c r="AA374" s="39">
        <v>0</v>
      </c>
      <c r="AB374" s="39">
        <v>0</v>
      </c>
      <c r="AC374" s="39" t="s">
        <v>32</v>
      </c>
    </row>
    <row r="375" spans="1:29" ht="16.5" x14ac:dyDescent="0.15">
      <c r="A375" s="35" t="s">
        <v>7</v>
      </c>
      <c r="B375" s="35" t="s">
        <v>679</v>
      </c>
      <c r="C375" s="36"/>
      <c r="D375" s="35" t="s">
        <v>7</v>
      </c>
      <c r="E375" s="14" t="s">
        <v>777</v>
      </c>
      <c r="F375" s="16">
        <v>42300</v>
      </c>
      <c r="G375" s="16">
        <v>39905.660377358487</v>
      </c>
      <c r="H375" s="37">
        <v>0.30000000000000004</v>
      </c>
      <c r="I375" s="16">
        <v>11971.698113207547</v>
      </c>
      <c r="J375" s="15"/>
      <c r="K375" s="35" t="s">
        <v>684</v>
      </c>
      <c r="L375" s="36">
        <v>12</v>
      </c>
      <c r="M375" s="36" t="s">
        <v>67</v>
      </c>
      <c r="N375" s="38">
        <v>3591.5094339622638</v>
      </c>
      <c r="O375" s="36" t="s">
        <v>29</v>
      </c>
      <c r="P375" s="36"/>
      <c r="Q375" s="39">
        <v>0</v>
      </c>
      <c r="R375" s="40">
        <v>0</v>
      </c>
      <c r="S375" s="39">
        <v>0</v>
      </c>
      <c r="T375" s="39">
        <v>0</v>
      </c>
      <c r="U375" s="39">
        <v>0</v>
      </c>
      <c r="V375" s="40">
        <v>0</v>
      </c>
      <c r="W375" s="39">
        <v>0</v>
      </c>
      <c r="X375" s="39">
        <v>0</v>
      </c>
      <c r="Y375" s="39">
        <v>0</v>
      </c>
      <c r="Z375" s="39">
        <v>0</v>
      </c>
      <c r="AA375" s="39">
        <v>0</v>
      </c>
      <c r="AB375" s="39">
        <v>0</v>
      </c>
      <c r="AC375" s="39" t="s">
        <v>35</v>
      </c>
    </row>
    <row r="376" spans="1:29" ht="16.5" x14ac:dyDescent="0.15">
      <c r="A376" s="35" t="s">
        <v>7</v>
      </c>
      <c r="B376" s="35" t="s">
        <v>679</v>
      </c>
      <c r="C376" s="36"/>
      <c r="D376" s="35" t="s">
        <v>7</v>
      </c>
      <c r="E376" s="14" t="s">
        <v>839</v>
      </c>
      <c r="F376" s="16">
        <v>91014.8</v>
      </c>
      <c r="G376" s="16">
        <v>85863.018867924533</v>
      </c>
      <c r="H376" s="37">
        <v>0.3</v>
      </c>
      <c r="I376" s="16">
        <v>25758.905660377361</v>
      </c>
      <c r="J376" s="15"/>
      <c r="K376" s="35" t="s">
        <v>692</v>
      </c>
      <c r="L376" s="36">
        <v>12</v>
      </c>
      <c r="M376" s="36" t="s">
        <v>57</v>
      </c>
      <c r="N376" s="38">
        <v>0</v>
      </c>
      <c r="O376" s="36" t="s">
        <v>29</v>
      </c>
      <c r="P376" s="36"/>
      <c r="Q376" s="39">
        <v>0.37388749207125554</v>
      </c>
      <c r="R376" s="40">
        <v>0</v>
      </c>
      <c r="S376" s="39">
        <v>0</v>
      </c>
      <c r="T376" s="39">
        <v>0</v>
      </c>
      <c r="U376" s="39">
        <v>0</v>
      </c>
      <c r="V376" s="40">
        <v>0</v>
      </c>
      <c r="W376" s="39">
        <v>0</v>
      </c>
      <c r="X376" s="39">
        <v>0</v>
      </c>
      <c r="Y376" s="39">
        <v>0</v>
      </c>
      <c r="Z376" s="39">
        <v>0</v>
      </c>
      <c r="AA376" s="39">
        <v>0</v>
      </c>
      <c r="AB376" s="39">
        <v>0</v>
      </c>
      <c r="AC376" s="39">
        <v>0</v>
      </c>
    </row>
    <row r="377" spans="1:29" ht="16.5" x14ac:dyDescent="0.15">
      <c r="A377" s="35" t="s">
        <v>7</v>
      </c>
      <c r="B377" s="35" t="s">
        <v>679</v>
      </c>
      <c r="C377" s="36"/>
      <c r="D377" s="35" t="s">
        <v>7</v>
      </c>
      <c r="E377" s="14" t="s">
        <v>840</v>
      </c>
      <c r="F377" s="16">
        <v>298200</v>
      </c>
      <c r="G377" s="16">
        <v>281320.75471698114</v>
      </c>
      <c r="H377" s="37">
        <v>0.3</v>
      </c>
      <c r="I377" s="16">
        <v>84396.226415094337</v>
      </c>
      <c r="J377" s="15"/>
      <c r="K377" s="92" t="s">
        <v>788</v>
      </c>
      <c r="L377" s="36">
        <v>12</v>
      </c>
      <c r="M377" s="36" t="s">
        <v>67</v>
      </c>
      <c r="N377" s="38">
        <v>19811.32075471698</v>
      </c>
      <c r="O377" s="36" t="s">
        <v>29</v>
      </c>
      <c r="P377" s="36"/>
      <c r="Q377" s="39">
        <v>0</v>
      </c>
      <c r="R377" s="40">
        <v>0</v>
      </c>
      <c r="S377" s="39">
        <v>0</v>
      </c>
      <c r="T377" s="39">
        <v>0</v>
      </c>
      <c r="U377" s="39">
        <v>0</v>
      </c>
      <c r="V377" s="40">
        <v>0</v>
      </c>
      <c r="W377" s="39">
        <v>0</v>
      </c>
      <c r="X377" s="39">
        <v>0</v>
      </c>
      <c r="Y377" s="39">
        <v>0</v>
      </c>
      <c r="Z377" s="39">
        <v>0</v>
      </c>
      <c r="AA377" s="39">
        <v>0</v>
      </c>
      <c r="AB377" s="39">
        <v>0</v>
      </c>
      <c r="AC377" s="39" t="s">
        <v>35</v>
      </c>
    </row>
    <row r="378" spans="1:29" ht="16.5" x14ac:dyDescent="0.15">
      <c r="A378" s="35" t="s">
        <v>7</v>
      </c>
      <c r="B378" s="35" t="s">
        <v>679</v>
      </c>
      <c r="C378" s="36"/>
      <c r="D378" s="35" t="s">
        <v>7</v>
      </c>
      <c r="E378" s="14" t="s">
        <v>778</v>
      </c>
      <c r="F378" s="16">
        <v>31198.400000000001</v>
      </c>
      <c r="G378" s="16">
        <v>29432.452830188678</v>
      </c>
      <c r="H378" s="37">
        <v>0.3</v>
      </c>
      <c r="I378" s="16">
        <v>8829.7358490566039</v>
      </c>
      <c r="J378" s="15"/>
      <c r="K378" s="35" t="s">
        <v>684</v>
      </c>
      <c r="L378" s="36">
        <v>12</v>
      </c>
      <c r="M378" s="36" t="s">
        <v>67</v>
      </c>
      <c r="N378" s="38">
        <v>2428.67924528302</v>
      </c>
      <c r="O378" s="36" t="s">
        <v>29</v>
      </c>
      <c r="P378" s="36"/>
      <c r="Q378" s="39">
        <v>0</v>
      </c>
      <c r="R378" s="40">
        <v>0</v>
      </c>
      <c r="S378" s="39">
        <v>0</v>
      </c>
      <c r="T378" s="39">
        <v>0</v>
      </c>
      <c r="U378" s="39">
        <v>0</v>
      </c>
      <c r="V378" s="40">
        <v>0</v>
      </c>
      <c r="W378" s="39">
        <v>0</v>
      </c>
      <c r="X378" s="39">
        <v>0</v>
      </c>
      <c r="Y378" s="39">
        <v>0</v>
      </c>
      <c r="Z378" s="39">
        <v>0</v>
      </c>
      <c r="AA378" s="39">
        <v>0</v>
      </c>
      <c r="AB378" s="39">
        <v>0</v>
      </c>
      <c r="AC378" s="39" t="s">
        <v>35</v>
      </c>
    </row>
    <row r="379" spans="1:29" ht="16.5" x14ac:dyDescent="0.15">
      <c r="A379" s="35" t="s">
        <v>7</v>
      </c>
      <c r="B379" s="35" t="s">
        <v>679</v>
      </c>
      <c r="C379" s="36"/>
      <c r="D379" s="35" t="s">
        <v>7</v>
      </c>
      <c r="E379" s="14" t="s">
        <v>841</v>
      </c>
      <c r="F379" s="16">
        <v>21456.400000000001</v>
      </c>
      <c r="G379" s="16">
        <v>20241.886792452831</v>
      </c>
      <c r="H379" s="37">
        <v>0.3</v>
      </c>
      <c r="I379" s="16">
        <v>6072.566037735849</v>
      </c>
      <c r="J379" s="15"/>
      <c r="K379" s="35" t="s">
        <v>684</v>
      </c>
      <c r="L379" s="36">
        <v>12</v>
      </c>
      <c r="M379" s="36" t="s">
        <v>67</v>
      </c>
      <c r="N379" s="38">
        <v>6128.6792452830177</v>
      </c>
      <c r="O379" s="36" t="s">
        <v>29</v>
      </c>
      <c r="P379" s="36"/>
      <c r="Q379" s="39">
        <v>0</v>
      </c>
      <c r="R379" s="40">
        <v>0</v>
      </c>
      <c r="S379" s="39">
        <v>0</v>
      </c>
      <c r="T379" s="39">
        <v>0</v>
      </c>
      <c r="U379" s="39">
        <v>0</v>
      </c>
      <c r="V379" s="40">
        <v>0</v>
      </c>
      <c r="W379" s="39">
        <v>0</v>
      </c>
      <c r="X379" s="39">
        <v>0</v>
      </c>
      <c r="Y379" s="39">
        <v>0</v>
      </c>
      <c r="Z379" s="39">
        <v>0</v>
      </c>
      <c r="AA379" s="39">
        <v>0</v>
      </c>
      <c r="AB379" s="39">
        <v>0</v>
      </c>
      <c r="AC379" s="39" t="s">
        <v>32</v>
      </c>
    </row>
    <row r="380" spans="1:29" ht="16.5" x14ac:dyDescent="0.15">
      <c r="A380" s="35" t="s">
        <v>7</v>
      </c>
      <c r="B380" s="35" t="s">
        <v>679</v>
      </c>
      <c r="C380" s="36"/>
      <c r="D380" s="35" t="s">
        <v>7</v>
      </c>
      <c r="E380" s="14" t="s">
        <v>842</v>
      </c>
      <c r="F380" s="16">
        <v>240000</v>
      </c>
      <c r="G380" s="16">
        <v>226415.09433962262</v>
      </c>
      <c r="H380" s="37">
        <v>0.3</v>
      </c>
      <c r="I380" s="16">
        <v>67924.528301886778</v>
      </c>
      <c r="J380" s="15"/>
      <c r="K380" s="35" t="s">
        <v>701</v>
      </c>
      <c r="L380" s="36">
        <v>12</v>
      </c>
      <c r="M380" s="36" t="s">
        <v>57</v>
      </c>
      <c r="N380" s="38">
        <v>0</v>
      </c>
      <c r="O380" s="36" t="s">
        <v>29</v>
      </c>
      <c r="P380" s="36"/>
      <c r="Q380" s="39">
        <v>0</v>
      </c>
      <c r="R380" s="40">
        <v>0</v>
      </c>
      <c r="S380" s="39">
        <v>0</v>
      </c>
      <c r="T380" s="39">
        <v>0</v>
      </c>
      <c r="U380" s="39">
        <v>0</v>
      </c>
      <c r="V380" s="40">
        <v>0</v>
      </c>
      <c r="W380" s="39">
        <v>0</v>
      </c>
      <c r="X380" s="39">
        <v>0</v>
      </c>
      <c r="Y380" s="39">
        <v>0</v>
      </c>
      <c r="Z380" s="39">
        <v>0</v>
      </c>
      <c r="AA380" s="39">
        <v>0</v>
      </c>
      <c r="AB380" s="39">
        <v>0</v>
      </c>
      <c r="AC380" s="39">
        <v>0</v>
      </c>
    </row>
    <row r="381" spans="1:29" ht="16.5" x14ac:dyDescent="0.15">
      <c r="A381" s="35" t="s">
        <v>7</v>
      </c>
      <c r="B381" s="35" t="s">
        <v>679</v>
      </c>
      <c r="C381" s="36"/>
      <c r="D381" s="35" t="s">
        <v>7</v>
      </c>
      <c r="E381" s="14" t="s">
        <v>843</v>
      </c>
      <c r="F381" s="16">
        <v>4078.4</v>
      </c>
      <c r="G381" s="16">
        <v>3847.5471698113206</v>
      </c>
      <c r="H381" s="37">
        <v>0.3</v>
      </c>
      <c r="I381" s="16">
        <v>1154.2641509433961</v>
      </c>
      <c r="J381" s="15"/>
      <c r="K381" s="92" t="s">
        <v>788</v>
      </c>
      <c r="L381" s="36">
        <v>12</v>
      </c>
      <c r="M381" s="36" t="s">
        <v>57</v>
      </c>
      <c r="N381" s="38">
        <v>0</v>
      </c>
      <c r="O381" s="36" t="s">
        <v>29</v>
      </c>
      <c r="P381" s="36"/>
      <c r="Q381" s="39">
        <v>0.35514893293262828</v>
      </c>
      <c r="R381" s="40">
        <v>0</v>
      </c>
      <c r="S381" s="39">
        <v>0</v>
      </c>
      <c r="T381" s="39">
        <v>0</v>
      </c>
      <c r="U381" s="39">
        <v>0</v>
      </c>
      <c r="V381" s="40">
        <v>0</v>
      </c>
      <c r="W381" s="39">
        <v>0</v>
      </c>
      <c r="X381" s="39">
        <v>0</v>
      </c>
      <c r="Y381" s="39">
        <v>0</v>
      </c>
      <c r="Z381" s="39">
        <v>0</v>
      </c>
      <c r="AA381" s="39">
        <v>0</v>
      </c>
      <c r="AB381" s="39">
        <v>0</v>
      </c>
      <c r="AC381" s="39">
        <v>0</v>
      </c>
    </row>
    <row r="382" spans="1:29" ht="16.5" x14ac:dyDescent="0.15">
      <c r="A382" s="35" t="s">
        <v>7</v>
      </c>
      <c r="B382" s="35" t="s">
        <v>679</v>
      </c>
      <c r="C382" s="36"/>
      <c r="D382" s="35" t="s">
        <v>7</v>
      </c>
      <c r="E382" s="14" t="s">
        <v>844</v>
      </c>
      <c r="F382" s="16">
        <v>424309.55</v>
      </c>
      <c r="G382" s="16">
        <v>400292.02830188675</v>
      </c>
      <c r="H382" s="37">
        <v>0.3</v>
      </c>
      <c r="I382" s="16">
        <v>120087.60849056602</v>
      </c>
      <c r="J382" s="15"/>
      <c r="K382" s="35" t="s">
        <v>684</v>
      </c>
      <c r="L382" s="36">
        <v>12</v>
      </c>
      <c r="M382" s="36" t="s">
        <v>57</v>
      </c>
      <c r="N382" s="38">
        <v>0</v>
      </c>
      <c r="O382" s="36" t="s">
        <v>29</v>
      </c>
      <c r="P382" s="36"/>
      <c r="Q382" s="39">
        <v>0</v>
      </c>
      <c r="R382" s="40">
        <v>0</v>
      </c>
      <c r="S382" s="39">
        <v>0</v>
      </c>
      <c r="T382" s="39">
        <v>0</v>
      </c>
      <c r="U382" s="39">
        <v>0</v>
      </c>
      <c r="V382" s="40">
        <v>0</v>
      </c>
      <c r="W382" s="39">
        <v>0</v>
      </c>
      <c r="X382" s="39">
        <v>0</v>
      </c>
      <c r="Y382" s="39">
        <v>0</v>
      </c>
      <c r="Z382" s="39">
        <v>0</v>
      </c>
      <c r="AA382" s="39">
        <v>0</v>
      </c>
      <c r="AB382" s="39">
        <v>0</v>
      </c>
      <c r="AC382" s="39" t="s">
        <v>32</v>
      </c>
    </row>
    <row r="383" spans="1:29" ht="16.5" x14ac:dyDescent="0.15">
      <c r="A383" s="35" t="s">
        <v>7</v>
      </c>
      <c r="B383" s="35" t="s">
        <v>679</v>
      </c>
      <c r="C383" s="36"/>
      <c r="D383" s="35" t="s">
        <v>7</v>
      </c>
      <c r="E383" s="14" t="s">
        <v>740</v>
      </c>
      <c r="F383" s="16">
        <v>24000</v>
      </c>
      <c r="G383" s="16">
        <v>22641.509433962263</v>
      </c>
      <c r="H383" s="37">
        <v>0.3</v>
      </c>
      <c r="I383" s="16">
        <v>6792.4528301886785</v>
      </c>
      <c r="J383" s="15"/>
      <c r="K383" s="35" t="s">
        <v>682</v>
      </c>
      <c r="L383" s="36">
        <v>12</v>
      </c>
      <c r="M383" s="36" t="s">
        <v>67</v>
      </c>
      <c r="N383" s="38">
        <v>5660.3773584905657</v>
      </c>
      <c r="O383" s="36" t="s">
        <v>29</v>
      </c>
      <c r="P383" s="36"/>
      <c r="Q383" s="39">
        <v>0</v>
      </c>
      <c r="R383" s="40">
        <v>0</v>
      </c>
      <c r="S383" s="39">
        <v>0</v>
      </c>
      <c r="T383" s="39">
        <v>0</v>
      </c>
      <c r="U383" s="39">
        <v>0</v>
      </c>
      <c r="V383" s="40">
        <v>0</v>
      </c>
      <c r="W383" s="39">
        <v>0</v>
      </c>
      <c r="X383" s="39">
        <v>0</v>
      </c>
      <c r="Y383" s="39">
        <v>0</v>
      </c>
      <c r="Z383" s="39">
        <v>0</v>
      </c>
      <c r="AA383" s="39">
        <v>0</v>
      </c>
      <c r="AB383" s="39">
        <v>0</v>
      </c>
      <c r="AC383" s="39" t="s">
        <v>32</v>
      </c>
    </row>
    <row r="384" spans="1:29" ht="16.5" x14ac:dyDescent="0.15">
      <c r="A384" s="35" t="s">
        <v>7</v>
      </c>
      <c r="B384" s="35" t="s">
        <v>679</v>
      </c>
      <c r="C384" s="36"/>
      <c r="D384" s="35" t="s">
        <v>7</v>
      </c>
      <c r="E384" s="14" t="s">
        <v>739</v>
      </c>
      <c r="F384" s="16">
        <v>19198.400000000001</v>
      </c>
      <c r="G384" s="16">
        <v>18111.698113207549</v>
      </c>
      <c r="H384" s="37">
        <v>0.3</v>
      </c>
      <c r="I384" s="16">
        <v>5433.5094339622647</v>
      </c>
      <c r="J384" s="15"/>
      <c r="K384" s="35" t="s">
        <v>682</v>
      </c>
      <c r="L384" s="36">
        <v>12</v>
      </c>
      <c r="M384" s="36" t="s">
        <v>67</v>
      </c>
      <c r="N384" s="38">
        <v>1820.1886792452842</v>
      </c>
      <c r="O384" s="36" t="s">
        <v>29</v>
      </c>
      <c r="P384" s="36"/>
      <c r="Q384" s="39">
        <v>0</v>
      </c>
      <c r="R384" s="40">
        <v>0</v>
      </c>
      <c r="S384" s="39">
        <v>0</v>
      </c>
      <c r="T384" s="39">
        <v>0</v>
      </c>
      <c r="U384" s="39">
        <v>0</v>
      </c>
      <c r="V384" s="40">
        <v>0</v>
      </c>
      <c r="W384" s="39">
        <v>0</v>
      </c>
      <c r="X384" s="39">
        <v>0</v>
      </c>
      <c r="Y384" s="39">
        <v>0</v>
      </c>
      <c r="Z384" s="39">
        <v>0</v>
      </c>
      <c r="AA384" s="39">
        <v>0</v>
      </c>
      <c r="AB384" s="39">
        <v>0</v>
      </c>
      <c r="AC384" s="39" t="s">
        <v>32</v>
      </c>
    </row>
    <row r="385" spans="1:29" ht="16.5" x14ac:dyDescent="0.15">
      <c r="A385" s="35" t="s">
        <v>7</v>
      </c>
      <c r="B385" s="35" t="s">
        <v>679</v>
      </c>
      <c r="C385" s="36"/>
      <c r="D385" s="35" t="s">
        <v>7</v>
      </c>
      <c r="E385" s="14" t="s">
        <v>737</v>
      </c>
      <c r="F385" s="16">
        <v>33212.800000000003</v>
      </c>
      <c r="G385" s="16">
        <v>31332.830188679247</v>
      </c>
      <c r="H385" s="37">
        <v>0.29999999999999993</v>
      </c>
      <c r="I385" s="16">
        <v>9399.8490566037726</v>
      </c>
      <c r="J385" s="15"/>
      <c r="K385" s="35" t="s">
        <v>682</v>
      </c>
      <c r="L385" s="36">
        <v>12</v>
      </c>
      <c r="M385" s="36" t="s">
        <v>67</v>
      </c>
      <c r="N385" s="38">
        <v>8153.3018867924557</v>
      </c>
      <c r="O385" s="36" t="s">
        <v>29</v>
      </c>
      <c r="P385" s="36"/>
      <c r="Q385" s="39">
        <v>0</v>
      </c>
      <c r="R385" s="40">
        <v>0</v>
      </c>
      <c r="S385" s="39">
        <v>0</v>
      </c>
      <c r="T385" s="39">
        <v>0</v>
      </c>
      <c r="U385" s="39">
        <v>0</v>
      </c>
      <c r="V385" s="40">
        <v>0</v>
      </c>
      <c r="W385" s="39">
        <v>0</v>
      </c>
      <c r="X385" s="39">
        <v>0</v>
      </c>
      <c r="Y385" s="39">
        <v>0</v>
      </c>
      <c r="Z385" s="39">
        <v>0</v>
      </c>
      <c r="AA385" s="39">
        <v>0</v>
      </c>
      <c r="AB385" s="39">
        <v>0</v>
      </c>
      <c r="AC385" s="39" t="s">
        <v>32</v>
      </c>
    </row>
    <row r="386" spans="1:29" ht="16.5" x14ac:dyDescent="0.15">
      <c r="A386" s="35" t="s">
        <v>7</v>
      </c>
      <c r="B386" s="35" t="s">
        <v>679</v>
      </c>
      <c r="C386" s="36"/>
      <c r="D386" s="35" t="s">
        <v>7</v>
      </c>
      <c r="E386" s="14" t="s">
        <v>741</v>
      </c>
      <c r="F386" s="16">
        <v>61730.8</v>
      </c>
      <c r="G386" s="16">
        <v>58236.603773584902</v>
      </c>
      <c r="H386" s="37">
        <v>0.3</v>
      </c>
      <c r="I386" s="16">
        <v>17470.981132075471</v>
      </c>
      <c r="J386" s="15"/>
      <c r="K386" s="35" t="s">
        <v>682</v>
      </c>
      <c r="L386" s="36">
        <v>12</v>
      </c>
      <c r="M386" s="36" t="s">
        <v>67</v>
      </c>
      <c r="N386" s="38">
        <v>11470.566037735847</v>
      </c>
      <c r="O386" s="36" t="s">
        <v>29</v>
      </c>
      <c r="P386" s="36"/>
      <c r="Q386" s="39">
        <v>0</v>
      </c>
      <c r="R386" s="40">
        <v>0</v>
      </c>
      <c r="S386" s="39">
        <v>0</v>
      </c>
      <c r="T386" s="39">
        <v>0</v>
      </c>
      <c r="U386" s="39">
        <v>0</v>
      </c>
      <c r="V386" s="40">
        <v>0</v>
      </c>
      <c r="W386" s="39">
        <v>0</v>
      </c>
      <c r="X386" s="39">
        <v>0</v>
      </c>
      <c r="Y386" s="39">
        <v>0</v>
      </c>
      <c r="Z386" s="39">
        <v>0</v>
      </c>
      <c r="AA386" s="39">
        <v>0</v>
      </c>
      <c r="AB386" s="39">
        <v>0</v>
      </c>
      <c r="AC386" s="39" t="s">
        <v>32</v>
      </c>
    </row>
    <row r="387" spans="1:29" ht="16.5" x14ac:dyDescent="0.15">
      <c r="A387" s="35" t="s">
        <v>7</v>
      </c>
      <c r="B387" s="35" t="s">
        <v>696</v>
      </c>
      <c r="C387" s="36"/>
      <c r="D387" s="35" t="s">
        <v>7</v>
      </c>
      <c r="E387" s="14" t="s">
        <v>791</v>
      </c>
      <c r="F387" s="16">
        <v>43572.4</v>
      </c>
      <c r="G387" s="16">
        <v>41106.037735849059</v>
      </c>
      <c r="H387" s="37">
        <v>0.3</v>
      </c>
      <c r="I387" s="16">
        <v>12331.811320754718</v>
      </c>
      <c r="J387" s="15"/>
      <c r="K387" s="35" t="s">
        <v>684</v>
      </c>
      <c r="L387" s="36">
        <v>11</v>
      </c>
      <c r="M387" s="36" t="s">
        <v>67</v>
      </c>
      <c r="N387" s="38">
        <v>12704.009433962263</v>
      </c>
      <c r="O387" s="36" t="s">
        <v>29</v>
      </c>
      <c r="P387" s="36"/>
      <c r="Q387" s="39"/>
      <c r="R387" s="39"/>
      <c r="S387" s="39"/>
      <c r="T387" s="39"/>
      <c r="U387" s="39"/>
      <c r="V387" s="39"/>
      <c r="W387" s="39"/>
      <c r="X387" s="39"/>
      <c r="Y387" s="39"/>
      <c r="Z387" s="39"/>
      <c r="AA387" s="39"/>
      <c r="AB387" s="39"/>
      <c r="AC387" s="39"/>
    </row>
    <row r="388" spans="1:29" ht="16.5" x14ac:dyDescent="0.15">
      <c r="A388" s="35" t="s">
        <v>7</v>
      </c>
      <c r="B388" s="35" t="s">
        <v>679</v>
      </c>
      <c r="C388" s="36"/>
      <c r="D388" s="35" t="s">
        <v>7</v>
      </c>
      <c r="E388" s="14" t="s">
        <v>693</v>
      </c>
      <c r="F388" s="16">
        <v>49700</v>
      </c>
      <c r="G388" s="16">
        <v>46886.792452830188</v>
      </c>
      <c r="H388" s="37">
        <v>0.3</v>
      </c>
      <c r="I388" s="16">
        <v>14066.037735849057</v>
      </c>
      <c r="J388" s="15"/>
      <c r="K388" s="35" t="s">
        <v>692</v>
      </c>
      <c r="L388" s="36">
        <v>12</v>
      </c>
      <c r="M388" s="36" t="s">
        <v>67</v>
      </c>
      <c r="N388" s="38">
        <v>3301.8867924528299</v>
      </c>
      <c r="O388" s="36" t="s">
        <v>29</v>
      </c>
      <c r="P388" s="36"/>
      <c r="Q388" s="39">
        <v>0</v>
      </c>
      <c r="R388" s="40">
        <v>0</v>
      </c>
      <c r="S388" s="39">
        <v>0</v>
      </c>
      <c r="T388" s="39">
        <v>0</v>
      </c>
      <c r="U388" s="39">
        <v>0</v>
      </c>
      <c r="V388" s="40">
        <v>0</v>
      </c>
      <c r="W388" s="39">
        <v>0</v>
      </c>
      <c r="X388" s="39">
        <v>0</v>
      </c>
      <c r="Y388" s="39">
        <v>0</v>
      </c>
      <c r="Z388" s="39">
        <v>0</v>
      </c>
      <c r="AA388" s="39">
        <v>0</v>
      </c>
      <c r="AB388" s="39">
        <v>0</v>
      </c>
      <c r="AC388" s="39" t="s">
        <v>35</v>
      </c>
    </row>
    <row r="389" spans="1:29" ht="16.5" x14ac:dyDescent="0.15">
      <c r="A389" s="35" t="s">
        <v>7</v>
      </c>
      <c r="B389" s="35" t="s">
        <v>679</v>
      </c>
      <c r="C389" s="36"/>
      <c r="D389" s="35" t="s">
        <v>7</v>
      </c>
      <c r="E389" s="14" t="s">
        <v>747</v>
      </c>
      <c r="F389" s="16">
        <v>26600000</v>
      </c>
      <c r="G389" s="16">
        <v>25094339.622641508</v>
      </c>
      <c r="H389" s="37">
        <v>0.1</v>
      </c>
      <c r="I389" s="16">
        <v>2509433.9622641508</v>
      </c>
      <c r="J389" s="15"/>
      <c r="K389" s="35" t="s">
        <v>685</v>
      </c>
      <c r="L389" s="36">
        <v>12</v>
      </c>
      <c r="M389" s="36" t="s">
        <v>57</v>
      </c>
      <c r="N389" s="38">
        <v>0</v>
      </c>
      <c r="O389" s="36" t="s">
        <v>29</v>
      </c>
      <c r="P389" s="36"/>
      <c r="Q389" s="39">
        <v>0</v>
      </c>
      <c r="R389" s="40">
        <v>0</v>
      </c>
      <c r="S389" s="39">
        <v>0</v>
      </c>
      <c r="T389" s="39">
        <v>0</v>
      </c>
      <c r="U389" s="39">
        <v>0</v>
      </c>
      <c r="V389" s="40">
        <v>0</v>
      </c>
      <c r="W389" s="39">
        <v>0</v>
      </c>
      <c r="X389" s="39">
        <v>0</v>
      </c>
      <c r="Y389" s="39">
        <v>0</v>
      </c>
      <c r="Z389" s="39">
        <v>0</v>
      </c>
      <c r="AA389" s="39">
        <v>0</v>
      </c>
      <c r="AB389" s="39">
        <v>0</v>
      </c>
      <c r="AC389" s="39" t="s">
        <v>35</v>
      </c>
    </row>
    <row r="390" spans="1:29" ht="16.5" x14ac:dyDescent="0.15">
      <c r="A390" s="35" t="s">
        <v>7</v>
      </c>
      <c r="B390" s="35" t="s">
        <v>679</v>
      </c>
      <c r="C390" s="36"/>
      <c r="D390" s="35" t="s">
        <v>7</v>
      </c>
      <c r="E390" s="14" t="s">
        <v>845</v>
      </c>
      <c r="F390" s="16">
        <v>2000000</v>
      </c>
      <c r="G390" s="16">
        <v>1886792.4528301887</v>
      </c>
      <c r="H390" s="37">
        <v>0.25309999999999999</v>
      </c>
      <c r="I390" s="16">
        <v>477547.16981132072</v>
      </c>
      <c r="J390" s="15"/>
      <c r="K390" s="35" t="s">
        <v>692</v>
      </c>
      <c r="L390" s="36">
        <v>12</v>
      </c>
      <c r="M390" s="36" t="s">
        <v>57</v>
      </c>
      <c r="N390" s="38">
        <v>0</v>
      </c>
      <c r="O390" s="36" t="s">
        <v>29</v>
      </c>
      <c r="P390" s="36"/>
      <c r="Q390" s="39">
        <v>0</v>
      </c>
      <c r="R390" s="40">
        <v>0</v>
      </c>
      <c r="S390" s="39">
        <v>0</v>
      </c>
      <c r="T390" s="39">
        <v>0</v>
      </c>
      <c r="U390" s="39">
        <v>0</v>
      </c>
      <c r="V390" s="40">
        <v>0</v>
      </c>
      <c r="W390" s="39">
        <v>0</v>
      </c>
      <c r="X390" s="39">
        <v>0</v>
      </c>
      <c r="Y390" s="39">
        <v>0</v>
      </c>
      <c r="Z390" s="39">
        <v>0</v>
      </c>
      <c r="AA390" s="39">
        <v>0</v>
      </c>
      <c r="AB390" s="39">
        <v>0</v>
      </c>
      <c r="AC390" s="39" t="s">
        <v>32</v>
      </c>
    </row>
    <row r="391" spans="1:29" ht="16.5" x14ac:dyDescent="0.15">
      <c r="A391" s="35" t="s">
        <v>36</v>
      </c>
      <c r="B391" s="35" t="s">
        <v>679</v>
      </c>
      <c r="C391" s="36"/>
      <c r="D391" s="35" t="s">
        <v>36</v>
      </c>
      <c r="E391" s="14" t="s">
        <v>846</v>
      </c>
      <c r="F391" s="16">
        <v>168000</v>
      </c>
      <c r="G391" s="16">
        <v>158490.56603773584</v>
      </c>
      <c r="H391" s="37">
        <v>1</v>
      </c>
      <c r="I391" s="16">
        <v>158490.56603773584</v>
      </c>
      <c r="J391" s="15"/>
      <c r="K391" s="35" t="s">
        <v>680</v>
      </c>
      <c r="L391" s="36">
        <v>12</v>
      </c>
      <c r="M391" s="36" t="s">
        <v>57</v>
      </c>
      <c r="N391" s="38">
        <v>0</v>
      </c>
      <c r="O391" s="36" t="s">
        <v>40</v>
      </c>
      <c r="P391" s="36"/>
      <c r="Q391" s="39">
        <v>0</v>
      </c>
      <c r="R391" s="40">
        <v>0</v>
      </c>
      <c r="S391" s="39">
        <v>0</v>
      </c>
      <c r="T391" s="39">
        <v>0</v>
      </c>
      <c r="U391" s="39">
        <v>0</v>
      </c>
      <c r="V391" s="40">
        <v>0</v>
      </c>
      <c r="W391" s="39">
        <v>0</v>
      </c>
      <c r="X391" s="39">
        <v>0</v>
      </c>
      <c r="Y391" s="39">
        <v>0</v>
      </c>
      <c r="Z391" s="39">
        <v>0</v>
      </c>
      <c r="AA391" s="39">
        <v>0</v>
      </c>
      <c r="AB391" s="39">
        <v>0</v>
      </c>
      <c r="AC391" s="39" t="s">
        <v>620</v>
      </c>
    </row>
    <row r="392" spans="1:29" ht="16.5" x14ac:dyDescent="0.15">
      <c r="A392" s="35" t="s">
        <v>36</v>
      </c>
      <c r="B392" s="35" t="s">
        <v>679</v>
      </c>
      <c r="C392" s="36"/>
      <c r="D392" s="35" t="s">
        <v>36</v>
      </c>
      <c r="E392" s="14" t="s">
        <v>729</v>
      </c>
      <c r="F392" s="16">
        <v>2769000</v>
      </c>
      <c r="G392" s="16">
        <v>2612264.1509433961</v>
      </c>
      <c r="H392" s="37">
        <v>0.93879999999999997</v>
      </c>
      <c r="I392" s="16">
        <v>2452393.5849056602</v>
      </c>
      <c r="J392" s="15"/>
      <c r="K392" s="35" t="s">
        <v>680</v>
      </c>
      <c r="L392" s="36">
        <v>12</v>
      </c>
      <c r="M392" s="36" t="s">
        <v>57</v>
      </c>
      <c r="N392" s="38">
        <v>0</v>
      </c>
      <c r="O392" s="36" t="s">
        <v>40</v>
      </c>
      <c r="P392" s="36"/>
      <c r="Q392" s="39">
        <v>0</v>
      </c>
      <c r="R392" s="40">
        <v>0</v>
      </c>
      <c r="S392" s="39">
        <v>0</v>
      </c>
      <c r="T392" s="39">
        <v>0</v>
      </c>
      <c r="U392" s="39">
        <v>0</v>
      </c>
      <c r="V392" s="40">
        <v>0</v>
      </c>
      <c r="W392" s="39">
        <v>0</v>
      </c>
      <c r="X392" s="39">
        <v>0</v>
      </c>
      <c r="Y392" s="39">
        <v>0</v>
      </c>
      <c r="Z392" s="39">
        <v>0</v>
      </c>
      <c r="AA392" s="39">
        <v>0</v>
      </c>
      <c r="AB392" s="39">
        <v>0</v>
      </c>
      <c r="AC392" s="39" t="s">
        <v>32</v>
      </c>
    </row>
    <row r="393" spans="1:29" ht="16.5" x14ac:dyDescent="0.15">
      <c r="A393" s="35" t="s">
        <v>7</v>
      </c>
      <c r="B393" s="35" t="s">
        <v>679</v>
      </c>
      <c r="C393" s="36"/>
      <c r="D393" s="35" t="s">
        <v>7</v>
      </c>
      <c r="E393" s="14" t="s">
        <v>733</v>
      </c>
      <c r="F393" s="16">
        <v>29293</v>
      </c>
      <c r="G393" s="16">
        <v>27634.905660377357</v>
      </c>
      <c r="H393" s="37">
        <v>0.3</v>
      </c>
      <c r="I393" s="16">
        <v>8290.471698113206</v>
      </c>
      <c r="J393" s="15"/>
      <c r="K393" s="35" t="s">
        <v>692</v>
      </c>
      <c r="L393" s="36">
        <v>12</v>
      </c>
      <c r="M393" s="36" t="s">
        <v>67</v>
      </c>
      <c r="N393" s="38">
        <v>17130.277994196567</v>
      </c>
      <c r="O393" s="36" t="s">
        <v>29</v>
      </c>
      <c r="P393" s="36"/>
      <c r="Q393" s="39">
        <v>0</v>
      </c>
      <c r="R393" s="40">
        <v>0</v>
      </c>
      <c r="S393" s="39">
        <v>0</v>
      </c>
      <c r="T393" s="39">
        <v>0</v>
      </c>
      <c r="U393" s="39">
        <v>0</v>
      </c>
      <c r="V393" s="40">
        <v>0</v>
      </c>
      <c r="W393" s="39">
        <v>0</v>
      </c>
      <c r="X393" s="39">
        <v>0</v>
      </c>
      <c r="Y393" s="39">
        <v>0</v>
      </c>
      <c r="Z393" s="39">
        <v>0</v>
      </c>
      <c r="AA393" s="39">
        <v>0</v>
      </c>
      <c r="AB393" s="39">
        <v>0</v>
      </c>
      <c r="AC393" s="39">
        <v>0</v>
      </c>
    </row>
    <row r="394" spans="1:29" ht="16.5" x14ac:dyDescent="0.15">
      <c r="A394" s="35" t="s">
        <v>7</v>
      </c>
      <c r="B394" s="35" t="s">
        <v>679</v>
      </c>
      <c r="C394" s="36"/>
      <c r="D394" s="35" t="s">
        <v>7</v>
      </c>
      <c r="E394" s="14" t="s">
        <v>782</v>
      </c>
      <c r="F394" s="16">
        <v>91657</v>
      </c>
      <c r="G394" s="16">
        <v>86468.867924528298</v>
      </c>
      <c r="H394" s="37">
        <v>0.3</v>
      </c>
      <c r="I394" s="16">
        <v>25940.66037735849</v>
      </c>
      <c r="J394" s="15"/>
      <c r="K394" s="35" t="s">
        <v>692</v>
      </c>
      <c r="L394" s="36">
        <v>12</v>
      </c>
      <c r="M394" s="36" t="s">
        <v>67</v>
      </c>
      <c r="N394" s="38">
        <v>26945.75471698113</v>
      </c>
      <c r="O394" s="36" t="s">
        <v>29</v>
      </c>
      <c r="P394" s="36"/>
      <c r="Q394" s="39">
        <v>0</v>
      </c>
      <c r="R394" s="40">
        <v>0</v>
      </c>
      <c r="S394" s="39">
        <v>0</v>
      </c>
      <c r="T394" s="39">
        <v>0</v>
      </c>
      <c r="U394" s="39">
        <v>0</v>
      </c>
      <c r="V394" s="40">
        <v>0</v>
      </c>
      <c r="W394" s="39">
        <v>0</v>
      </c>
      <c r="X394" s="39">
        <v>0</v>
      </c>
      <c r="Y394" s="39">
        <v>0</v>
      </c>
      <c r="Z394" s="39">
        <v>0</v>
      </c>
      <c r="AA394" s="39">
        <v>0</v>
      </c>
      <c r="AB394" s="39">
        <v>0</v>
      </c>
      <c r="AC394" s="39" t="s">
        <v>108</v>
      </c>
    </row>
    <row r="395" spans="1:29" ht="16.5" x14ac:dyDescent="0.15">
      <c r="A395" s="35" t="s">
        <v>7</v>
      </c>
      <c r="B395" s="35" t="s">
        <v>679</v>
      </c>
      <c r="C395" s="36"/>
      <c r="D395" s="35" t="s">
        <v>7</v>
      </c>
      <c r="E395" s="14" t="s">
        <v>847</v>
      </c>
      <c r="F395" s="16">
        <v>16298.4</v>
      </c>
      <c r="G395" s="16">
        <v>15375.849056603773</v>
      </c>
      <c r="H395" s="37">
        <v>0.3</v>
      </c>
      <c r="I395" s="16">
        <v>4612.7547169811314</v>
      </c>
      <c r="J395" s="15"/>
      <c r="K395" s="35" t="s">
        <v>692</v>
      </c>
      <c r="L395" s="36">
        <v>12</v>
      </c>
      <c r="M395" s="36" t="s">
        <v>67</v>
      </c>
      <c r="N395" s="38">
        <v>4864.9763924063136</v>
      </c>
      <c r="O395" s="36" t="s">
        <v>29</v>
      </c>
      <c r="P395" s="36"/>
      <c r="Q395" s="39">
        <v>0</v>
      </c>
      <c r="R395" s="40">
        <v>0</v>
      </c>
      <c r="S395" s="39">
        <v>0</v>
      </c>
      <c r="T395" s="39">
        <v>0</v>
      </c>
      <c r="U395" s="39">
        <v>0</v>
      </c>
      <c r="V395" s="40">
        <v>0</v>
      </c>
      <c r="W395" s="39">
        <v>0</v>
      </c>
      <c r="X395" s="39">
        <v>0</v>
      </c>
      <c r="Y395" s="39">
        <v>0</v>
      </c>
      <c r="Z395" s="39">
        <v>0</v>
      </c>
      <c r="AA395" s="39">
        <v>0</v>
      </c>
      <c r="AB395" s="39">
        <v>0</v>
      </c>
      <c r="AC395" s="39" t="s">
        <v>620</v>
      </c>
    </row>
    <row r="396" spans="1:29" ht="16.5" x14ac:dyDescent="0.15">
      <c r="A396" s="35" t="s">
        <v>7</v>
      </c>
      <c r="B396" s="35" t="s">
        <v>696</v>
      </c>
      <c r="C396" s="36"/>
      <c r="D396" s="35" t="s">
        <v>7</v>
      </c>
      <c r="E396" s="14" t="s">
        <v>848</v>
      </c>
      <c r="F396" s="16">
        <v>788200</v>
      </c>
      <c r="G396" s="16">
        <v>743584.90566037735</v>
      </c>
      <c r="H396" s="37">
        <v>0.35969999999999996</v>
      </c>
      <c r="I396" s="16">
        <v>267467.49056603771</v>
      </c>
      <c r="J396" s="15"/>
      <c r="K396" s="35" t="s">
        <v>684</v>
      </c>
      <c r="L396" s="36">
        <v>11</v>
      </c>
      <c r="M396" s="36" t="s">
        <v>67</v>
      </c>
      <c r="N396" s="38">
        <v>134664.15094339621</v>
      </c>
      <c r="O396" s="36" t="s">
        <v>29</v>
      </c>
      <c r="P396" s="36"/>
      <c r="Q396" s="39"/>
      <c r="R396" s="39"/>
      <c r="S396" s="39"/>
      <c r="T396" s="39"/>
      <c r="U396" s="39"/>
      <c r="V396" s="39"/>
      <c r="W396" s="39"/>
      <c r="X396" s="39"/>
      <c r="Y396" s="39"/>
      <c r="Z396" s="39"/>
      <c r="AA396" s="39"/>
      <c r="AB396" s="39"/>
      <c r="AC396" s="39"/>
    </row>
    <row r="397" spans="1:29" ht="16.5" x14ac:dyDescent="0.15">
      <c r="A397" s="35" t="s">
        <v>7</v>
      </c>
      <c r="B397" s="35" t="s">
        <v>696</v>
      </c>
      <c r="C397" s="36"/>
      <c r="D397" s="35" t="s">
        <v>7</v>
      </c>
      <c r="E397" s="14" t="s">
        <v>849</v>
      </c>
      <c r="F397" s="16">
        <v>86795.6</v>
      </c>
      <c r="G397" s="16">
        <v>81882.641509433961</v>
      </c>
      <c r="H397" s="37">
        <v>0.3</v>
      </c>
      <c r="I397" s="16">
        <v>24564.792452830188</v>
      </c>
      <c r="J397" s="15"/>
      <c r="K397" s="35" t="s">
        <v>684</v>
      </c>
      <c r="L397" s="36">
        <v>11</v>
      </c>
      <c r="M397" s="36" t="s">
        <v>67</v>
      </c>
      <c r="N397" s="38">
        <v>25090.188679245286</v>
      </c>
      <c r="O397" s="36" t="s">
        <v>29</v>
      </c>
      <c r="P397" s="36"/>
      <c r="Q397" s="39"/>
      <c r="R397" s="39"/>
      <c r="S397" s="39"/>
      <c r="T397" s="39"/>
      <c r="U397" s="39"/>
      <c r="V397" s="39"/>
      <c r="W397" s="39"/>
      <c r="X397" s="39"/>
      <c r="Y397" s="39"/>
      <c r="Z397" s="39"/>
      <c r="AA397" s="39"/>
      <c r="AB397" s="39"/>
      <c r="AC397" s="39"/>
    </row>
    <row r="398" spans="1:29" ht="16.5" x14ac:dyDescent="0.15">
      <c r="A398" s="35" t="s">
        <v>7</v>
      </c>
      <c r="B398" s="35" t="s">
        <v>679</v>
      </c>
      <c r="C398" s="36"/>
      <c r="D398" s="35" t="s">
        <v>7</v>
      </c>
      <c r="E398" s="14" t="s">
        <v>850</v>
      </c>
      <c r="F398" s="16">
        <v>209520</v>
      </c>
      <c r="G398" s="16">
        <v>197660.37735849054</v>
      </c>
      <c r="H398" s="37">
        <v>0.3</v>
      </c>
      <c r="I398" s="16">
        <v>59298.113207547161</v>
      </c>
      <c r="J398" s="15"/>
      <c r="K398" s="92" t="s">
        <v>699</v>
      </c>
      <c r="L398" s="36">
        <v>12</v>
      </c>
      <c r="M398" s="36" t="s">
        <v>57</v>
      </c>
      <c r="N398" s="38">
        <v>0</v>
      </c>
      <c r="O398" s="36" t="s">
        <v>29</v>
      </c>
      <c r="P398" s="36"/>
      <c r="Q398" s="39">
        <v>0.4</v>
      </c>
      <c r="R398" s="40">
        <v>0</v>
      </c>
      <c r="S398" s="39">
        <v>0</v>
      </c>
      <c r="T398" s="39">
        <v>0</v>
      </c>
      <c r="U398" s="39">
        <v>0</v>
      </c>
      <c r="V398" s="40">
        <v>0</v>
      </c>
      <c r="W398" s="39">
        <v>0</v>
      </c>
      <c r="X398" s="39">
        <v>0</v>
      </c>
      <c r="Y398" s="39">
        <v>0</v>
      </c>
      <c r="Z398" s="39">
        <v>0</v>
      </c>
      <c r="AA398" s="39">
        <v>0</v>
      </c>
      <c r="AB398" s="39">
        <v>0</v>
      </c>
      <c r="AC398" s="39">
        <v>0</v>
      </c>
    </row>
    <row r="399" spans="1:29" ht="16.5" x14ac:dyDescent="0.15">
      <c r="A399" s="35" t="s">
        <v>7</v>
      </c>
      <c r="B399" s="35" t="s">
        <v>679</v>
      </c>
      <c r="C399" s="36"/>
      <c r="D399" s="35" t="s">
        <v>7</v>
      </c>
      <c r="E399" s="14" t="s">
        <v>851</v>
      </c>
      <c r="F399" s="16">
        <v>59491.8</v>
      </c>
      <c r="G399" s="16">
        <v>56124.339622641506</v>
      </c>
      <c r="H399" s="37">
        <v>0.3</v>
      </c>
      <c r="I399" s="16">
        <v>16837.301886792451</v>
      </c>
      <c r="J399" s="15"/>
      <c r="K399" s="35" t="s">
        <v>689</v>
      </c>
      <c r="L399" s="36">
        <v>12</v>
      </c>
      <c r="M399" s="36" t="s">
        <v>67</v>
      </c>
      <c r="N399" s="38">
        <v>15285.660377358492</v>
      </c>
      <c r="O399" s="36" t="s">
        <v>29</v>
      </c>
      <c r="P399" s="36"/>
      <c r="Q399" s="39">
        <v>0</v>
      </c>
      <c r="R399" s="40">
        <v>0</v>
      </c>
      <c r="S399" s="39">
        <v>0</v>
      </c>
      <c r="T399" s="39">
        <v>0</v>
      </c>
      <c r="U399" s="39">
        <v>0</v>
      </c>
      <c r="V399" s="40">
        <v>0</v>
      </c>
      <c r="W399" s="39">
        <v>0</v>
      </c>
      <c r="X399" s="39">
        <v>0</v>
      </c>
      <c r="Y399" s="39">
        <v>0</v>
      </c>
      <c r="Z399" s="39">
        <v>0</v>
      </c>
      <c r="AA399" s="39">
        <v>0</v>
      </c>
      <c r="AB399" s="39">
        <v>0</v>
      </c>
      <c r="AC399" s="39" t="s">
        <v>35</v>
      </c>
    </row>
    <row r="400" spans="1:29" ht="16.5" x14ac:dyDescent="0.15">
      <c r="A400" s="35" t="s">
        <v>7</v>
      </c>
      <c r="B400" s="35" t="s">
        <v>679</v>
      </c>
      <c r="C400" s="36"/>
      <c r="D400" s="35" t="s">
        <v>7</v>
      </c>
      <c r="E400" s="14" t="s">
        <v>852</v>
      </c>
      <c r="F400" s="16">
        <v>52380</v>
      </c>
      <c r="G400" s="16">
        <v>49415.094339622636</v>
      </c>
      <c r="H400" s="37">
        <v>0.30000000000000004</v>
      </c>
      <c r="I400" s="16">
        <v>14824.528301886792</v>
      </c>
      <c r="J400" s="15"/>
      <c r="K400" s="35" t="s">
        <v>685</v>
      </c>
      <c r="L400" s="36">
        <v>12</v>
      </c>
      <c r="M400" s="36" t="s">
        <v>67</v>
      </c>
      <c r="N400" s="38">
        <v>9792.4528301886785</v>
      </c>
      <c r="O400" s="36" t="s">
        <v>29</v>
      </c>
      <c r="P400" s="36"/>
      <c r="Q400" s="39">
        <v>0</v>
      </c>
      <c r="R400" s="40">
        <v>0</v>
      </c>
      <c r="S400" s="39">
        <v>0</v>
      </c>
      <c r="T400" s="39">
        <v>0</v>
      </c>
      <c r="U400" s="39">
        <v>0</v>
      </c>
      <c r="V400" s="40">
        <v>0</v>
      </c>
      <c r="W400" s="39">
        <v>0</v>
      </c>
      <c r="X400" s="39">
        <v>0</v>
      </c>
      <c r="Y400" s="39">
        <v>0</v>
      </c>
      <c r="Z400" s="39">
        <v>0</v>
      </c>
      <c r="AA400" s="39">
        <v>0</v>
      </c>
      <c r="AB400" s="39">
        <v>0</v>
      </c>
      <c r="AC400" s="39" t="s">
        <v>108</v>
      </c>
    </row>
    <row r="401" spans="1:29" ht="16.5" x14ac:dyDescent="0.15">
      <c r="A401" s="35" t="s">
        <v>7</v>
      </c>
      <c r="B401" s="35" t="s">
        <v>679</v>
      </c>
      <c r="C401" s="36"/>
      <c r="D401" s="35" t="s">
        <v>7</v>
      </c>
      <c r="E401" s="14" t="s">
        <v>853</v>
      </c>
      <c r="F401" s="16">
        <v>28518</v>
      </c>
      <c r="G401" s="16">
        <v>26903.773584905659</v>
      </c>
      <c r="H401" s="37">
        <v>0.3</v>
      </c>
      <c r="I401" s="16">
        <v>8071.1320754716971</v>
      </c>
      <c r="J401" s="15"/>
      <c r="K401" s="35" t="s">
        <v>685</v>
      </c>
      <c r="L401" s="36">
        <v>12</v>
      </c>
      <c r="M401" s="36" t="s">
        <v>67</v>
      </c>
      <c r="N401" s="38">
        <v>4335.8490566037735</v>
      </c>
      <c r="O401" s="36" t="s">
        <v>29</v>
      </c>
      <c r="P401" s="36"/>
      <c r="Q401" s="39">
        <v>0</v>
      </c>
      <c r="R401" s="40">
        <v>0</v>
      </c>
      <c r="S401" s="39">
        <v>0</v>
      </c>
      <c r="T401" s="39">
        <v>0</v>
      </c>
      <c r="U401" s="39">
        <v>0</v>
      </c>
      <c r="V401" s="40">
        <v>0</v>
      </c>
      <c r="W401" s="39">
        <v>0</v>
      </c>
      <c r="X401" s="39">
        <v>0</v>
      </c>
      <c r="Y401" s="39">
        <v>0</v>
      </c>
      <c r="Z401" s="39">
        <v>0</v>
      </c>
      <c r="AA401" s="39">
        <v>0</v>
      </c>
      <c r="AB401" s="39">
        <v>0</v>
      </c>
      <c r="AC401" s="39" t="s">
        <v>620</v>
      </c>
    </row>
    <row r="402" spans="1:29" ht="16.5" x14ac:dyDescent="0.15">
      <c r="A402" s="35" t="s">
        <v>7</v>
      </c>
      <c r="B402" s="35" t="s">
        <v>679</v>
      </c>
      <c r="C402" s="36"/>
      <c r="D402" s="35" t="s">
        <v>7</v>
      </c>
      <c r="E402" s="14" t="s">
        <v>854</v>
      </c>
      <c r="F402" s="16">
        <v>253800</v>
      </c>
      <c r="G402" s="16">
        <v>239433.96226415093</v>
      </c>
      <c r="H402" s="37">
        <v>0.30000000000000004</v>
      </c>
      <c r="I402" s="16">
        <v>71830.188679245286</v>
      </c>
      <c r="J402" s="15"/>
      <c r="K402" s="35" t="s">
        <v>689</v>
      </c>
      <c r="L402" s="36">
        <v>12</v>
      </c>
      <c r="M402" s="36" t="s">
        <v>57</v>
      </c>
      <c r="N402" s="38">
        <v>0</v>
      </c>
      <c r="O402" s="36" t="s">
        <v>29</v>
      </c>
      <c r="P402" s="36"/>
      <c r="Q402" s="39">
        <v>0</v>
      </c>
      <c r="R402" s="40">
        <v>0</v>
      </c>
      <c r="S402" s="39">
        <v>0</v>
      </c>
      <c r="T402" s="39">
        <v>0</v>
      </c>
      <c r="U402" s="39">
        <v>0</v>
      </c>
      <c r="V402" s="40">
        <v>0</v>
      </c>
      <c r="W402" s="39">
        <v>0</v>
      </c>
      <c r="X402" s="39">
        <v>0</v>
      </c>
      <c r="Y402" s="39">
        <v>0</v>
      </c>
      <c r="Z402" s="39">
        <v>0</v>
      </c>
      <c r="AA402" s="39">
        <v>0</v>
      </c>
      <c r="AB402" s="39">
        <v>0</v>
      </c>
      <c r="AC402" s="39">
        <v>0</v>
      </c>
    </row>
    <row r="403" spans="1:29" ht="16.5" x14ac:dyDescent="0.15">
      <c r="A403" s="35" t="s">
        <v>7</v>
      </c>
      <c r="B403" s="35" t="s">
        <v>679</v>
      </c>
      <c r="C403" s="36"/>
      <c r="D403" s="35" t="s">
        <v>7</v>
      </c>
      <c r="E403" s="14" t="s">
        <v>855</v>
      </c>
      <c r="F403" s="16">
        <v>307000</v>
      </c>
      <c r="G403" s="16">
        <v>289622.64150943398</v>
      </c>
      <c r="H403" s="37">
        <v>0.42940977975398897</v>
      </c>
      <c r="I403" s="16">
        <v>124366.79470233455</v>
      </c>
      <c r="J403" s="15"/>
      <c r="K403" s="92" t="s">
        <v>699</v>
      </c>
      <c r="L403" s="36">
        <v>12</v>
      </c>
      <c r="M403" s="36" t="s">
        <v>57</v>
      </c>
      <c r="N403" s="38">
        <v>0</v>
      </c>
      <c r="O403" s="36" t="s">
        <v>29</v>
      </c>
      <c r="P403" s="36"/>
      <c r="Q403" s="39">
        <v>0.41517464892188388</v>
      </c>
      <c r="R403" s="40">
        <v>0</v>
      </c>
      <c r="S403" s="39">
        <v>0</v>
      </c>
      <c r="T403" s="39">
        <v>0</v>
      </c>
      <c r="U403" s="39">
        <v>0</v>
      </c>
      <c r="V403" s="40">
        <v>0</v>
      </c>
      <c r="W403" s="39">
        <v>0</v>
      </c>
      <c r="X403" s="39">
        <v>0</v>
      </c>
      <c r="Y403" s="39">
        <v>0</v>
      </c>
      <c r="Z403" s="39">
        <v>0</v>
      </c>
      <c r="AA403" s="39">
        <v>0</v>
      </c>
      <c r="AB403" s="39">
        <v>0</v>
      </c>
      <c r="AC403" s="39">
        <v>0</v>
      </c>
    </row>
    <row r="404" spans="1:29" ht="16.5" x14ac:dyDescent="0.15">
      <c r="A404" s="35" t="s">
        <v>7</v>
      </c>
      <c r="B404" s="35" t="s">
        <v>679</v>
      </c>
      <c r="C404" s="36"/>
      <c r="D404" s="35" t="s">
        <v>7</v>
      </c>
      <c r="E404" s="14" t="s">
        <v>746</v>
      </c>
      <c r="F404" s="16">
        <v>2066750.24</v>
      </c>
      <c r="G404" s="16">
        <v>1949764.3773584904</v>
      </c>
      <c r="H404" s="37">
        <v>0.57110000000000005</v>
      </c>
      <c r="I404" s="16">
        <v>1113510.435909434</v>
      </c>
      <c r="J404" s="15"/>
      <c r="K404" s="35" t="s">
        <v>682</v>
      </c>
      <c r="L404" s="36">
        <v>12</v>
      </c>
      <c r="M404" s="36" t="s">
        <v>57</v>
      </c>
      <c r="N404" s="38" t="s">
        <v>155</v>
      </c>
      <c r="O404" s="36" t="s">
        <v>29</v>
      </c>
      <c r="P404" s="36"/>
      <c r="Q404" s="39">
        <v>0</v>
      </c>
      <c r="R404" s="40">
        <v>0</v>
      </c>
      <c r="S404" s="39">
        <v>0</v>
      </c>
      <c r="T404" s="39">
        <v>0</v>
      </c>
      <c r="U404" s="39">
        <v>0</v>
      </c>
      <c r="V404" s="40">
        <v>0</v>
      </c>
      <c r="W404" s="39">
        <v>0</v>
      </c>
      <c r="X404" s="39">
        <v>0</v>
      </c>
      <c r="Y404" s="39">
        <v>0</v>
      </c>
      <c r="Z404" s="39">
        <v>0</v>
      </c>
      <c r="AA404" s="39">
        <v>0</v>
      </c>
      <c r="AB404" s="39">
        <v>0</v>
      </c>
      <c r="AC404" s="39" t="s">
        <v>32</v>
      </c>
    </row>
    <row r="405" spans="1:29" ht="16.5" x14ac:dyDescent="0.35">
      <c r="A405" s="35" t="s">
        <v>69</v>
      </c>
      <c r="B405" s="35" t="s">
        <v>679</v>
      </c>
      <c r="C405" s="12"/>
      <c r="D405" s="35" t="s">
        <v>69</v>
      </c>
      <c r="E405" s="41" t="s">
        <v>70</v>
      </c>
      <c r="F405" s="42"/>
      <c r="G405" s="42"/>
      <c r="H405" s="19"/>
      <c r="I405" s="42">
        <v>805790.24361153506</v>
      </c>
      <c r="J405" s="43"/>
      <c r="K405" s="35"/>
      <c r="L405" s="35">
        <v>10</v>
      </c>
      <c r="M405" s="35" t="s">
        <v>57</v>
      </c>
      <c r="N405" s="44">
        <v>805790.24361153506</v>
      </c>
      <c r="O405" s="35" t="s">
        <v>29</v>
      </c>
      <c r="P405" s="19"/>
      <c r="Q405" s="39"/>
      <c r="R405" s="39"/>
      <c r="S405" s="39"/>
      <c r="T405" s="39"/>
      <c r="U405" s="39"/>
      <c r="V405" s="39"/>
      <c r="W405" s="39"/>
      <c r="X405" s="39"/>
      <c r="Y405" s="39"/>
      <c r="Z405" s="39"/>
      <c r="AA405" s="39"/>
      <c r="AB405" s="39"/>
      <c r="AC405" s="39"/>
    </row>
    <row r="406" spans="1:29" ht="16.5" x14ac:dyDescent="0.35">
      <c r="A406" s="35" t="s">
        <v>7</v>
      </c>
      <c r="B406" s="35" t="s">
        <v>679</v>
      </c>
      <c r="C406" s="12"/>
      <c r="D406" s="35" t="s">
        <v>7</v>
      </c>
      <c r="E406" s="41" t="s">
        <v>831</v>
      </c>
      <c r="F406" s="42">
        <v>1132974.55</v>
      </c>
      <c r="G406" s="42">
        <v>1068843.9150943395</v>
      </c>
      <c r="H406" s="19">
        <v>0.3</v>
      </c>
      <c r="I406" s="42">
        <v>320653.17452830187</v>
      </c>
      <c r="J406" s="43"/>
      <c r="K406" s="35" t="s">
        <v>788</v>
      </c>
      <c r="L406" s="35">
        <v>10</v>
      </c>
      <c r="M406" s="35" t="s">
        <v>67</v>
      </c>
      <c r="N406" s="44">
        <v>324519.38679245283</v>
      </c>
      <c r="O406" s="35" t="s">
        <v>29</v>
      </c>
      <c r="P406" s="19" t="s">
        <v>856</v>
      </c>
      <c r="Q406" s="39"/>
      <c r="R406" s="39"/>
      <c r="S406" s="39"/>
      <c r="T406" s="39"/>
      <c r="U406" s="39"/>
      <c r="V406" s="39"/>
      <c r="W406" s="39"/>
      <c r="X406" s="39"/>
      <c r="Y406" s="39"/>
      <c r="Z406" s="39"/>
      <c r="AA406" s="39"/>
      <c r="AB406" s="39"/>
      <c r="AC406" s="39"/>
    </row>
    <row r="407" spans="1:29" ht="16.5" x14ac:dyDescent="0.35">
      <c r="A407" s="35" t="s">
        <v>7</v>
      </c>
      <c r="B407" s="35" t="s">
        <v>679</v>
      </c>
      <c r="C407" s="12"/>
      <c r="D407" s="35" t="s">
        <v>7</v>
      </c>
      <c r="E407" s="41" t="s">
        <v>857</v>
      </c>
      <c r="F407" s="42">
        <v>158235.54999999999</v>
      </c>
      <c r="G407" s="42">
        <v>149278.82075471696</v>
      </c>
      <c r="H407" s="19">
        <v>0.71750000000000003</v>
      </c>
      <c r="I407" s="42">
        <v>107107.55389150942</v>
      </c>
      <c r="J407" s="43"/>
      <c r="K407" s="35" t="s">
        <v>788</v>
      </c>
      <c r="L407" s="35">
        <v>10</v>
      </c>
      <c r="M407" s="35" t="s">
        <v>57</v>
      </c>
      <c r="N407" s="44"/>
      <c r="O407" s="35" t="s">
        <v>29</v>
      </c>
      <c r="P407" s="19" t="s">
        <v>858</v>
      </c>
      <c r="Q407" s="39"/>
      <c r="R407" s="39"/>
      <c r="S407" s="39"/>
      <c r="T407" s="39"/>
      <c r="U407" s="39"/>
      <c r="V407" s="39"/>
      <c r="W407" s="39"/>
      <c r="X407" s="39"/>
      <c r="Y407" s="39"/>
      <c r="Z407" s="39"/>
      <c r="AA407" s="39"/>
      <c r="AB407" s="39"/>
      <c r="AC407" s="39"/>
    </row>
    <row r="408" spans="1:29" ht="16.5" x14ac:dyDescent="0.35">
      <c r="A408" s="35" t="s">
        <v>7</v>
      </c>
      <c r="B408" s="35" t="s">
        <v>679</v>
      </c>
      <c r="C408" s="12"/>
      <c r="D408" s="35" t="s">
        <v>7</v>
      </c>
      <c r="E408" s="41" t="s">
        <v>859</v>
      </c>
      <c r="F408" s="42">
        <v>4365</v>
      </c>
      <c r="G408" s="42">
        <v>4117.9245283018863</v>
      </c>
      <c r="H408" s="19">
        <v>0.3</v>
      </c>
      <c r="I408" s="42">
        <v>1235.3773584905659</v>
      </c>
      <c r="J408" s="43"/>
      <c r="K408" s="35" t="s">
        <v>692</v>
      </c>
      <c r="L408" s="35">
        <v>10</v>
      </c>
      <c r="M408" s="35" t="s">
        <v>67</v>
      </c>
      <c r="N408" s="44">
        <v>1212.2641509433961</v>
      </c>
      <c r="O408" s="35" t="s">
        <v>29</v>
      </c>
      <c r="P408" s="19" t="s">
        <v>860</v>
      </c>
      <c r="Q408" s="39"/>
      <c r="R408" s="39"/>
      <c r="S408" s="39"/>
      <c r="T408" s="39"/>
      <c r="U408" s="39"/>
      <c r="V408" s="39"/>
      <c r="W408" s="39"/>
      <c r="X408" s="39"/>
      <c r="Y408" s="39"/>
      <c r="Z408" s="39"/>
      <c r="AA408" s="39"/>
      <c r="AB408" s="39"/>
      <c r="AC408" s="39"/>
    </row>
    <row r="409" spans="1:29" ht="16.5" x14ac:dyDescent="0.35">
      <c r="A409" s="35" t="s">
        <v>7</v>
      </c>
      <c r="B409" s="35" t="s">
        <v>679</v>
      </c>
      <c r="C409" s="12"/>
      <c r="D409" s="35" t="s">
        <v>7</v>
      </c>
      <c r="E409" s="41" t="s">
        <v>785</v>
      </c>
      <c r="F409" s="42">
        <v>625201</v>
      </c>
      <c r="G409" s="42">
        <v>589812.26415094337</v>
      </c>
      <c r="H409" s="19">
        <v>0.29999999999999993</v>
      </c>
      <c r="I409" s="42">
        <v>176943.67924528298</v>
      </c>
      <c r="J409" s="43"/>
      <c r="K409" s="35" t="s">
        <v>694</v>
      </c>
      <c r="L409" s="35">
        <v>10</v>
      </c>
      <c r="M409" s="35" t="s">
        <v>67</v>
      </c>
      <c r="N409" s="44">
        <v>176483.98062908661</v>
      </c>
      <c r="O409" s="35" t="s">
        <v>29</v>
      </c>
      <c r="P409" s="19" t="s">
        <v>786</v>
      </c>
      <c r="Q409" s="39"/>
      <c r="R409" s="39"/>
      <c r="S409" s="39"/>
      <c r="T409" s="39"/>
      <c r="U409" s="39"/>
      <c r="V409" s="39"/>
      <c r="W409" s="39"/>
      <c r="X409" s="39"/>
      <c r="Y409" s="39"/>
      <c r="Z409" s="39"/>
      <c r="AA409" s="39"/>
      <c r="AB409" s="39"/>
      <c r="AC409" s="39"/>
    </row>
    <row r="410" spans="1:29" ht="16.5" x14ac:dyDescent="0.35">
      <c r="A410" s="35" t="s">
        <v>7</v>
      </c>
      <c r="B410" s="35" t="s">
        <v>679</v>
      </c>
      <c r="C410" s="12"/>
      <c r="D410" s="35" t="s">
        <v>7</v>
      </c>
      <c r="E410" s="41" t="s">
        <v>795</v>
      </c>
      <c r="F410" s="42">
        <v>40730.300000000003</v>
      </c>
      <c r="G410" s="42">
        <v>38424.811320754721</v>
      </c>
      <c r="H410" s="19">
        <v>0.3</v>
      </c>
      <c r="I410" s="42">
        <v>11527.443396226416</v>
      </c>
      <c r="J410" s="43"/>
      <c r="K410" s="35" t="s">
        <v>694</v>
      </c>
      <c r="L410" s="35">
        <v>10</v>
      </c>
      <c r="M410" s="35" t="s">
        <v>67</v>
      </c>
      <c r="N410" s="44">
        <v>1922.9245283018868</v>
      </c>
      <c r="O410" s="35" t="s">
        <v>29</v>
      </c>
      <c r="P410" s="19" t="s">
        <v>796</v>
      </c>
      <c r="Q410" s="39"/>
      <c r="R410" s="39"/>
      <c r="S410" s="39"/>
      <c r="T410" s="39"/>
      <c r="U410" s="39"/>
      <c r="V410" s="39"/>
      <c r="W410" s="39"/>
      <c r="X410" s="39"/>
      <c r="Y410" s="39"/>
      <c r="Z410" s="39"/>
      <c r="AA410" s="39"/>
      <c r="AB410" s="39"/>
      <c r="AC410" s="39"/>
    </row>
    <row r="411" spans="1:29" ht="16.5" x14ac:dyDescent="0.35">
      <c r="A411" s="35" t="s">
        <v>36</v>
      </c>
      <c r="B411" s="35" t="s">
        <v>679</v>
      </c>
      <c r="C411" s="12"/>
      <c r="D411" s="35" t="s">
        <v>36</v>
      </c>
      <c r="E411" s="41" t="s">
        <v>861</v>
      </c>
      <c r="F411" s="42">
        <v>150000</v>
      </c>
      <c r="G411" s="42">
        <v>141509.43396226416</v>
      </c>
      <c r="H411" s="19">
        <v>1</v>
      </c>
      <c r="I411" s="42">
        <v>141509.43396226416</v>
      </c>
      <c r="J411" s="43"/>
      <c r="K411" s="35" t="s">
        <v>680</v>
      </c>
      <c r="L411" s="35">
        <v>10</v>
      </c>
      <c r="M411" s="35" t="s">
        <v>57</v>
      </c>
      <c r="N411" s="44"/>
      <c r="O411" s="102" t="s">
        <v>512</v>
      </c>
      <c r="P411" s="19" t="s">
        <v>862</v>
      </c>
      <c r="Q411" s="39"/>
      <c r="R411" s="39"/>
      <c r="S411" s="39"/>
      <c r="T411" s="39"/>
      <c r="U411" s="39"/>
      <c r="V411" s="39"/>
      <c r="W411" s="39"/>
      <c r="X411" s="39"/>
      <c r="Y411" s="39"/>
      <c r="Z411" s="39"/>
      <c r="AA411" s="39"/>
      <c r="AB411" s="39"/>
      <c r="AC411" s="39"/>
    </row>
    <row r="412" spans="1:29" ht="16.5" x14ac:dyDescent="0.35">
      <c r="A412" s="35" t="s">
        <v>7</v>
      </c>
      <c r="B412" s="35" t="s">
        <v>679</v>
      </c>
      <c r="C412" s="12"/>
      <c r="D412" s="35" t="s">
        <v>7</v>
      </c>
      <c r="E412" s="41" t="s">
        <v>863</v>
      </c>
      <c r="F412" s="42">
        <v>1000000</v>
      </c>
      <c r="G412" s="42">
        <v>943396.22641509434</v>
      </c>
      <c r="H412" s="19">
        <v>0.34740000000000004</v>
      </c>
      <c r="I412" s="42">
        <v>327735.84905660379</v>
      </c>
      <c r="J412" s="43"/>
      <c r="K412" s="35" t="s">
        <v>692</v>
      </c>
      <c r="L412" s="35">
        <v>10</v>
      </c>
      <c r="M412" s="35" t="s">
        <v>57</v>
      </c>
      <c r="N412" s="44"/>
      <c r="O412" s="35" t="s">
        <v>29</v>
      </c>
      <c r="P412" s="19" t="s">
        <v>712</v>
      </c>
      <c r="Q412" s="39"/>
      <c r="R412" s="39"/>
      <c r="S412" s="39"/>
      <c r="T412" s="39"/>
      <c r="U412" s="39"/>
      <c r="V412" s="39"/>
      <c r="W412" s="39"/>
      <c r="X412" s="39"/>
      <c r="Y412" s="39"/>
      <c r="Z412" s="39"/>
      <c r="AA412" s="39"/>
      <c r="AB412" s="39"/>
      <c r="AC412" s="39"/>
    </row>
    <row r="413" spans="1:29" ht="16.5" x14ac:dyDescent="0.35">
      <c r="A413" s="35" t="s">
        <v>7</v>
      </c>
      <c r="B413" s="35" t="s">
        <v>679</v>
      </c>
      <c r="C413" s="12"/>
      <c r="D413" s="35" t="s">
        <v>7</v>
      </c>
      <c r="E413" s="41" t="s">
        <v>793</v>
      </c>
      <c r="F413" s="42">
        <v>35948.199999999997</v>
      </c>
      <c r="G413" s="42">
        <v>33913.39622641509</v>
      </c>
      <c r="H413" s="19">
        <v>0.3</v>
      </c>
      <c r="I413" s="42">
        <v>10174.018867924528</v>
      </c>
      <c r="J413" s="43"/>
      <c r="K413" s="35" t="s">
        <v>694</v>
      </c>
      <c r="L413" s="35">
        <v>10</v>
      </c>
      <c r="M413" s="35" t="s">
        <v>67</v>
      </c>
      <c r="N413" s="44">
        <v>11009.622641509433</v>
      </c>
      <c r="O413" s="35" t="s">
        <v>29</v>
      </c>
      <c r="P413" s="19" t="s">
        <v>794</v>
      </c>
      <c r="Q413" s="39"/>
      <c r="R413" s="39"/>
      <c r="S413" s="39"/>
      <c r="T413" s="39"/>
      <c r="U413" s="39"/>
      <c r="V413" s="39"/>
      <c r="W413" s="39"/>
      <c r="X413" s="39"/>
      <c r="Y413" s="39"/>
      <c r="Z413" s="39"/>
      <c r="AA413" s="39"/>
      <c r="AB413" s="39"/>
      <c r="AC413" s="39"/>
    </row>
    <row r="414" spans="1:29" ht="16.5" x14ac:dyDescent="0.35">
      <c r="A414" s="35" t="s">
        <v>7</v>
      </c>
      <c r="B414" s="35" t="s">
        <v>679</v>
      </c>
      <c r="C414" s="12"/>
      <c r="D414" s="35" t="s">
        <v>7</v>
      </c>
      <c r="E414" s="41" t="s">
        <v>864</v>
      </c>
      <c r="F414" s="42">
        <v>84600</v>
      </c>
      <c r="G414" s="42">
        <v>79811.320754716973</v>
      </c>
      <c r="H414" s="19">
        <v>0.3</v>
      </c>
      <c r="I414" s="42">
        <v>23943.39622641509</v>
      </c>
      <c r="J414" s="43"/>
      <c r="K414" s="35" t="s">
        <v>694</v>
      </c>
      <c r="L414" s="35">
        <v>10</v>
      </c>
      <c r="M414" s="35" t="s">
        <v>67</v>
      </c>
      <c r="N414" s="44">
        <v>7183.0188679245275</v>
      </c>
      <c r="O414" s="35" t="s">
        <v>29</v>
      </c>
      <c r="P414" s="19" t="s">
        <v>865</v>
      </c>
      <c r="Q414" s="39"/>
      <c r="R414" s="39"/>
      <c r="S414" s="39"/>
      <c r="T414" s="39"/>
      <c r="U414" s="39"/>
      <c r="V414" s="39"/>
      <c r="W414" s="39"/>
      <c r="X414" s="39"/>
      <c r="Y414" s="39"/>
      <c r="Z414" s="39"/>
      <c r="AA414" s="39"/>
      <c r="AB414" s="39"/>
      <c r="AC414" s="39"/>
    </row>
    <row r="415" spans="1:29" ht="16.5" x14ac:dyDescent="0.35">
      <c r="A415" s="35" t="s">
        <v>7</v>
      </c>
      <c r="B415" s="35" t="s">
        <v>679</v>
      </c>
      <c r="C415" s="12"/>
      <c r="D415" s="35" t="s">
        <v>7</v>
      </c>
      <c r="E415" s="41" t="s">
        <v>866</v>
      </c>
      <c r="F415" s="42">
        <v>163356</v>
      </c>
      <c r="G415" s="42">
        <v>154109.43396226416</v>
      </c>
      <c r="H415" s="19">
        <v>0.49790000000000001</v>
      </c>
      <c r="I415" s="42">
        <v>76731.087169811319</v>
      </c>
      <c r="J415" s="43"/>
      <c r="K415" s="35" t="s">
        <v>694</v>
      </c>
      <c r="L415" s="35">
        <v>10</v>
      </c>
      <c r="M415" s="35" t="s">
        <v>57</v>
      </c>
      <c r="N415" s="44"/>
      <c r="O415" s="35" t="s">
        <v>29</v>
      </c>
      <c r="P415" s="19" t="s">
        <v>798</v>
      </c>
      <c r="Q415" s="39"/>
      <c r="R415" s="39"/>
      <c r="S415" s="39"/>
      <c r="T415" s="39"/>
      <c r="U415" s="39"/>
      <c r="V415" s="39"/>
      <c r="W415" s="39"/>
      <c r="X415" s="39"/>
      <c r="Y415" s="39"/>
      <c r="Z415" s="39"/>
      <c r="AA415" s="39"/>
      <c r="AB415" s="39"/>
      <c r="AC415" s="39"/>
    </row>
    <row r="416" spans="1:29" ht="16.5" x14ac:dyDescent="0.35">
      <c r="A416" s="35" t="s">
        <v>7</v>
      </c>
      <c r="B416" s="35" t="s">
        <v>679</v>
      </c>
      <c r="C416" s="12"/>
      <c r="D416" s="35" t="s">
        <v>7</v>
      </c>
      <c r="E416" s="41" t="s">
        <v>867</v>
      </c>
      <c r="F416" s="42">
        <v>18088</v>
      </c>
      <c r="G416" s="42">
        <v>17064.150943396227</v>
      </c>
      <c r="H416" s="19">
        <v>0.3</v>
      </c>
      <c r="I416" s="42">
        <v>5119.2452830188677</v>
      </c>
      <c r="J416" s="43"/>
      <c r="K416" s="35" t="s">
        <v>692</v>
      </c>
      <c r="L416" s="35">
        <v>10</v>
      </c>
      <c r="M416" s="35" t="s">
        <v>67</v>
      </c>
      <c r="N416" s="44">
        <v>3743.3962264150941</v>
      </c>
      <c r="O416" s="35" t="s">
        <v>29</v>
      </c>
      <c r="P416" s="19" t="s">
        <v>868</v>
      </c>
      <c r="Q416" s="39"/>
      <c r="R416" s="39"/>
      <c r="S416" s="39"/>
      <c r="T416" s="39"/>
      <c r="U416" s="39"/>
      <c r="V416" s="39"/>
      <c r="W416" s="39"/>
      <c r="X416" s="39"/>
      <c r="Y416" s="39"/>
      <c r="Z416" s="39"/>
      <c r="AA416" s="39"/>
      <c r="AB416" s="39"/>
      <c r="AC416" s="39"/>
    </row>
    <row r="417" spans="1:29" ht="16.5" x14ac:dyDescent="0.35">
      <c r="A417" s="62" t="s">
        <v>7</v>
      </c>
      <c r="B417" s="62" t="s">
        <v>679</v>
      </c>
      <c r="C417" s="12"/>
      <c r="D417" s="62" t="s">
        <v>7</v>
      </c>
      <c r="E417" s="63" t="s">
        <v>783</v>
      </c>
      <c r="F417" s="64">
        <v>49470</v>
      </c>
      <c r="G417" s="64">
        <v>46669.811320754714</v>
      </c>
      <c r="H417" s="65">
        <v>0.3</v>
      </c>
      <c r="I417" s="64">
        <v>14000.943396226414</v>
      </c>
      <c r="J417" s="66"/>
      <c r="K417" s="62" t="s">
        <v>720</v>
      </c>
      <c r="L417" s="35">
        <v>10</v>
      </c>
      <c r="M417" s="62" t="s">
        <v>67</v>
      </c>
      <c r="N417" s="67">
        <v>12216.981132075471</v>
      </c>
      <c r="O417" s="62" t="s">
        <v>29</v>
      </c>
      <c r="P417" s="65" t="s">
        <v>784</v>
      </c>
      <c r="Q417" s="39"/>
      <c r="R417" s="39"/>
      <c r="S417" s="39"/>
      <c r="T417" s="39"/>
      <c r="U417" s="39"/>
      <c r="V417" s="39"/>
      <c r="W417" s="39"/>
      <c r="X417" s="39"/>
      <c r="Y417" s="39"/>
      <c r="Z417" s="39"/>
      <c r="AA417" s="39"/>
      <c r="AB417" s="39"/>
      <c r="AC417" s="39"/>
    </row>
    <row r="418" spans="1:29" ht="16.5" x14ac:dyDescent="0.15">
      <c r="A418" s="35" t="s">
        <v>7</v>
      </c>
      <c r="B418" s="35" t="s">
        <v>696</v>
      </c>
      <c r="C418" s="36"/>
      <c r="D418" s="35" t="s">
        <v>7</v>
      </c>
      <c r="E418" s="14" t="s">
        <v>869</v>
      </c>
      <c r="F418" s="16">
        <v>99600</v>
      </c>
      <c r="G418" s="16">
        <v>93962.264150943389</v>
      </c>
      <c r="H418" s="37">
        <v>0.1</v>
      </c>
      <c r="I418" s="16">
        <v>9396.2264150943392</v>
      </c>
      <c r="J418" s="15"/>
      <c r="K418" s="92" t="s">
        <v>720</v>
      </c>
      <c r="L418" s="36">
        <v>11</v>
      </c>
      <c r="M418" s="36" t="s">
        <v>57</v>
      </c>
      <c r="N418" s="38">
        <v>0</v>
      </c>
      <c r="O418" s="36" t="s">
        <v>29</v>
      </c>
      <c r="P418" s="36"/>
      <c r="Q418" s="39"/>
      <c r="R418" s="39"/>
      <c r="S418" s="39"/>
      <c r="T418" s="39"/>
      <c r="U418" s="39"/>
      <c r="V418" s="39"/>
      <c r="W418" s="39"/>
      <c r="X418" s="39"/>
      <c r="Y418" s="39"/>
      <c r="Z418" s="39"/>
      <c r="AA418" s="39"/>
      <c r="AB418" s="39"/>
      <c r="AC418" s="39"/>
    </row>
    <row r="419" spans="1:29" ht="16.5" x14ac:dyDescent="0.15">
      <c r="A419" s="35" t="s">
        <v>7</v>
      </c>
      <c r="B419" s="35" t="s">
        <v>679</v>
      </c>
      <c r="C419" s="36"/>
      <c r="D419" s="35" t="s">
        <v>7</v>
      </c>
      <c r="E419" s="14" t="s">
        <v>870</v>
      </c>
      <c r="F419" s="16">
        <v>318858.40000000002</v>
      </c>
      <c r="G419" s="16">
        <v>300809.8113207547</v>
      </c>
      <c r="H419" s="37">
        <v>0.3</v>
      </c>
      <c r="I419" s="16">
        <v>90242.943396226401</v>
      </c>
      <c r="J419" s="15"/>
      <c r="K419" s="35" t="s">
        <v>689</v>
      </c>
      <c r="L419" s="36">
        <v>12</v>
      </c>
      <c r="M419" s="36" t="s">
        <v>57</v>
      </c>
      <c r="N419" s="38">
        <v>0</v>
      </c>
      <c r="O419" s="36" t="s">
        <v>29</v>
      </c>
      <c r="P419" s="36"/>
      <c r="Q419" s="39">
        <v>0.2</v>
      </c>
      <c r="R419" s="40">
        <v>0</v>
      </c>
      <c r="S419" s="39">
        <v>0</v>
      </c>
      <c r="T419" s="39">
        <v>0</v>
      </c>
      <c r="U419" s="39">
        <v>0</v>
      </c>
      <c r="V419" s="40">
        <v>0</v>
      </c>
      <c r="W419" s="39">
        <v>0</v>
      </c>
      <c r="X419" s="39">
        <v>0</v>
      </c>
      <c r="Y419" s="39">
        <v>0</v>
      </c>
      <c r="Z419" s="39">
        <v>0</v>
      </c>
      <c r="AA419" s="39">
        <v>0</v>
      </c>
      <c r="AB419" s="39">
        <v>0</v>
      </c>
      <c r="AC419" s="39">
        <v>0</v>
      </c>
    </row>
    <row r="420" spans="1:29" ht="16.5" x14ac:dyDescent="0.15">
      <c r="A420" s="35" t="s">
        <v>7</v>
      </c>
      <c r="B420" s="35" t="s">
        <v>696</v>
      </c>
      <c r="C420" s="36"/>
      <c r="D420" s="35" t="s">
        <v>7</v>
      </c>
      <c r="E420" s="14" t="s">
        <v>812</v>
      </c>
      <c r="F420" s="16">
        <v>84600</v>
      </c>
      <c r="G420" s="16">
        <v>79811.320754716973</v>
      </c>
      <c r="H420" s="37">
        <v>0.3</v>
      </c>
      <c r="I420" s="16">
        <v>23943.39622641509</v>
      </c>
      <c r="J420" s="15"/>
      <c r="K420" s="35" t="s">
        <v>692</v>
      </c>
      <c r="L420" s="36">
        <v>11</v>
      </c>
      <c r="M420" s="36" t="s">
        <v>67</v>
      </c>
      <c r="N420" s="38">
        <v>7183.0188679245275</v>
      </c>
      <c r="O420" s="36" t="s">
        <v>29</v>
      </c>
      <c r="P420" s="36"/>
      <c r="Q420" s="39"/>
      <c r="R420" s="39"/>
      <c r="S420" s="39"/>
      <c r="T420" s="39"/>
      <c r="U420" s="39"/>
      <c r="V420" s="39"/>
      <c r="W420" s="39"/>
      <c r="X420" s="39"/>
      <c r="Y420" s="39"/>
      <c r="Z420" s="39"/>
      <c r="AA420" s="39"/>
      <c r="AB420" s="39"/>
      <c r="AC420" s="39"/>
    </row>
    <row r="421" spans="1:29" ht="16.5" x14ac:dyDescent="0.15">
      <c r="A421" s="35" t="s">
        <v>7</v>
      </c>
      <c r="B421" s="35" t="s">
        <v>696</v>
      </c>
      <c r="C421" s="36"/>
      <c r="D421" s="35" t="s">
        <v>7</v>
      </c>
      <c r="E421" s="14" t="s">
        <v>871</v>
      </c>
      <c r="F421" s="16">
        <v>12000</v>
      </c>
      <c r="G421" s="16">
        <v>11320.754716981131</v>
      </c>
      <c r="H421" s="37">
        <v>1</v>
      </c>
      <c r="I421" s="16">
        <v>11320.754716981131</v>
      </c>
      <c r="J421" s="15"/>
      <c r="K421" s="35" t="s">
        <v>720</v>
      </c>
      <c r="L421" s="36">
        <v>11</v>
      </c>
      <c r="M421" s="36" t="s">
        <v>57</v>
      </c>
      <c r="N421" s="38">
        <v>0</v>
      </c>
      <c r="O421" s="36" t="s">
        <v>29</v>
      </c>
      <c r="P421" s="36"/>
      <c r="Q421" s="39"/>
      <c r="R421" s="39"/>
      <c r="S421" s="39"/>
      <c r="T421" s="39"/>
      <c r="U421" s="39"/>
      <c r="V421" s="39"/>
      <c r="W421" s="39"/>
      <c r="X421" s="39"/>
      <c r="Y421" s="39"/>
      <c r="Z421" s="39"/>
      <c r="AA421" s="39"/>
      <c r="AB421" s="39"/>
      <c r="AC421" s="39"/>
    </row>
    <row r="422" spans="1:29" ht="16.5" x14ac:dyDescent="0.15">
      <c r="A422" s="35" t="s">
        <v>7</v>
      </c>
      <c r="B422" s="35" t="s">
        <v>679</v>
      </c>
      <c r="C422" s="36"/>
      <c r="D422" s="35" t="s">
        <v>7</v>
      </c>
      <c r="E422" s="14" t="s">
        <v>688</v>
      </c>
      <c r="F422" s="16">
        <v>5712</v>
      </c>
      <c r="G422" s="16">
        <v>5388.6792452830186</v>
      </c>
      <c r="H422" s="37">
        <v>0.3</v>
      </c>
      <c r="I422" s="16">
        <v>1616.6037735849056</v>
      </c>
      <c r="J422" s="15"/>
      <c r="K422" s="35" t="s">
        <v>689</v>
      </c>
      <c r="L422" s="36">
        <v>12</v>
      </c>
      <c r="M422" s="36" t="s">
        <v>67</v>
      </c>
      <c r="N422" s="38">
        <v>484.90566037735846</v>
      </c>
      <c r="O422" s="36" t="s">
        <v>29</v>
      </c>
      <c r="P422" s="36"/>
      <c r="Q422" s="39">
        <v>0</v>
      </c>
      <c r="R422" s="40">
        <v>0</v>
      </c>
      <c r="S422" s="39">
        <v>0</v>
      </c>
      <c r="T422" s="39">
        <v>0</v>
      </c>
      <c r="U422" s="39">
        <v>0</v>
      </c>
      <c r="V422" s="40">
        <v>0</v>
      </c>
      <c r="W422" s="39">
        <v>0</v>
      </c>
      <c r="X422" s="39">
        <v>0</v>
      </c>
      <c r="Y422" s="39">
        <v>0</v>
      </c>
      <c r="Z422" s="39">
        <v>0</v>
      </c>
      <c r="AA422" s="39">
        <v>0</v>
      </c>
      <c r="AB422" s="39">
        <v>0</v>
      </c>
      <c r="AC422" s="39" t="s">
        <v>32</v>
      </c>
    </row>
    <row r="423" spans="1:29" ht="16.5" x14ac:dyDescent="0.15">
      <c r="A423" s="35" t="s">
        <v>7</v>
      </c>
      <c r="B423" s="35" t="s">
        <v>679</v>
      </c>
      <c r="C423" s="36"/>
      <c r="D423" s="35" t="s">
        <v>7</v>
      </c>
      <c r="E423" s="14" t="s">
        <v>690</v>
      </c>
      <c r="F423" s="16">
        <v>243590.6</v>
      </c>
      <c r="G423" s="16">
        <v>229802.45283018867</v>
      </c>
      <c r="H423" s="37">
        <v>0.3</v>
      </c>
      <c r="I423" s="16">
        <v>68940.735849056597</v>
      </c>
      <c r="J423" s="15"/>
      <c r="K423" s="92" t="s">
        <v>699</v>
      </c>
      <c r="L423" s="36">
        <v>12</v>
      </c>
      <c r="M423" s="36" t="s">
        <v>67</v>
      </c>
      <c r="N423" s="38">
        <v>36928.867924528306</v>
      </c>
      <c r="O423" s="36" t="s">
        <v>29</v>
      </c>
      <c r="P423" s="36"/>
      <c r="Q423" s="39">
        <v>0</v>
      </c>
      <c r="R423" s="40">
        <v>0</v>
      </c>
      <c r="S423" s="39">
        <v>0</v>
      </c>
      <c r="T423" s="39">
        <v>0</v>
      </c>
      <c r="U423" s="39">
        <v>0</v>
      </c>
      <c r="V423" s="40">
        <v>0</v>
      </c>
      <c r="W423" s="39">
        <v>0</v>
      </c>
      <c r="X423" s="39">
        <v>0</v>
      </c>
      <c r="Y423" s="39">
        <v>0</v>
      </c>
      <c r="Z423" s="39">
        <v>0</v>
      </c>
      <c r="AA423" s="39">
        <v>0</v>
      </c>
      <c r="AB423" s="39">
        <v>0</v>
      </c>
      <c r="AC423" s="39">
        <v>0</v>
      </c>
    </row>
    <row r="424" spans="1:29" ht="16.5" x14ac:dyDescent="0.15">
      <c r="A424" s="35" t="s">
        <v>7</v>
      </c>
      <c r="B424" s="35" t="s">
        <v>696</v>
      </c>
      <c r="C424" s="36"/>
      <c r="D424" s="35" t="s">
        <v>7</v>
      </c>
      <c r="E424" s="14" t="s">
        <v>814</v>
      </c>
      <c r="F424" s="16">
        <v>9137.4</v>
      </c>
      <c r="G424" s="16">
        <v>8620.1886792452824</v>
      </c>
      <c r="H424" s="37">
        <v>0.3</v>
      </c>
      <c r="I424" s="16">
        <v>2586.0566037735848</v>
      </c>
      <c r="J424" s="15"/>
      <c r="K424" s="35" t="s">
        <v>692</v>
      </c>
      <c r="L424" s="36">
        <v>11</v>
      </c>
      <c r="M424" s="36" t="s">
        <v>67</v>
      </c>
      <c r="N424" s="38">
        <v>2308.8679245283015</v>
      </c>
      <c r="O424" s="36" t="s">
        <v>29</v>
      </c>
      <c r="P424" s="36"/>
      <c r="Q424" s="39"/>
      <c r="R424" s="39"/>
      <c r="S424" s="39"/>
      <c r="T424" s="39"/>
      <c r="U424" s="39"/>
      <c r="V424" s="39"/>
      <c r="W424" s="39"/>
      <c r="X424" s="39"/>
      <c r="Y424" s="39"/>
      <c r="Z424" s="39"/>
      <c r="AA424" s="39"/>
      <c r="AB424" s="39"/>
      <c r="AC424" s="39"/>
    </row>
    <row r="425" spans="1:29" ht="16.5" x14ac:dyDescent="0.15">
      <c r="A425" s="35" t="s">
        <v>7</v>
      </c>
      <c r="B425" s="35" t="s">
        <v>696</v>
      </c>
      <c r="C425" s="36"/>
      <c r="D425" s="35" t="s">
        <v>7</v>
      </c>
      <c r="E425" s="14" t="s">
        <v>872</v>
      </c>
      <c r="F425" s="16">
        <v>113257.2</v>
      </c>
      <c r="G425" s="16">
        <v>106846.41509433961</v>
      </c>
      <c r="H425" s="37">
        <v>0.3</v>
      </c>
      <c r="I425" s="16">
        <v>32053.924528301883</v>
      </c>
      <c r="J425" s="15"/>
      <c r="K425" s="35" t="s">
        <v>689</v>
      </c>
      <c r="L425" s="36">
        <v>11</v>
      </c>
      <c r="M425" s="157" t="s">
        <v>57</v>
      </c>
      <c r="N425" s="160">
        <v>0</v>
      </c>
      <c r="O425" s="36" t="s">
        <v>29</v>
      </c>
      <c r="P425" s="36"/>
      <c r="Q425" s="39"/>
      <c r="R425" s="39"/>
      <c r="S425" s="39"/>
      <c r="T425" s="39"/>
      <c r="U425" s="39"/>
      <c r="V425" s="39"/>
      <c r="W425" s="39"/>
      <c r="X425" s="39"/>
      <c r="Y425" s="39"/>
      <c r="Z425" s="39"/>
      <c r="AA425" s="174"/>
      <c r="AB425" s="39"/>
      <c r="AC425" s="163"/>
    </row>
    <row r="426" spans="1:29" ht="16.5" x14ac:dyDescent="0.15">
      <c r="A426" s="35" t="s">
        <v>7</v>
      </c>
      <c r="B426" s="35" t="s">
        <v>696</v>
      </c>
      <c r="C426" s="36"/>
      <c r="D426" s="35" t="s">
        <v>7</v>
      </c>
      <c r="E426" s="14" t="s">
        <v>707</v>
      </c>
      <c r="F426" s="16">
        <v>233663.86</v>
      </c>
      <c r="G426" s="16">
        <v>220437.60377358488</v>
      </c>
      <c r="H426" s="37">
        <v>0.29999999999999993</v>
      </c>
      <c r="I426" s="16">
        <v>66131.281132075455</v>
      </c>
      <c r="J426" s="15"/>
      <c r="K426" s="35" t="s">
        <v>692</v>
      </c>
      <c r="L426" s="36">
        <v>11</v>
      </c>
      <c r="M426" s="36" t="s">
        <v>67</v>
      </c>
      <c r="N426" s="38">
        <v>51261.330188679225</v>
      </c>
      <c r="O426" s="36" t="s">
        <v>29</v>
      </c>
      <c r="P426" s="36"/>
      <c r="Q426" s="39"/>
      <c r="R426" s="39"/>
      <c r="S426" s="39"/>
      <c r="T426" s="39"/>
      <c r="U426" s="39"/>
      <c r="V426" s="39"/>
      <c r="W426" s="39"/>
      <c r="X426" s="39"/>
      <c r="Y426" s="39"/>
      <c r="Z426" s="39"/>
      <c r="AA426" s="39"/>
      <c r="AB426" s="163"/>
      <c r="AC426" s="163"/>
    </row>
    <row r="427" spans="1:29" ht="16.5" x14ac:dyDescent="0.15">
      <c r="A427" s="35" t="s">
        <v>7</v>
      </c>
      <c r="B427" s="35" t="s">
        <v>696</v>
      </c>
      <c r="C427" s="36"/>
      <c r="D427" s="35" t="s">
        <v>7</v>
      </c>
      <c r="E427" s="14" t="s">
        <v>873</v>
      </c>
      <c r="F427" s="16">
        <v>155520</v>
      </c>
      <c r="G427" s="16">
        <v>146716.98113207545</v>
      </c>
      <c r="H427" s="37">
        <v>0.3</v>
      </c>
      <c r="I427" s="16">
        <v>44015.094339622636</v>
      </c>
      <c r="J427" s="15"/>
      <c r="K427" s="35" t="s">
        <v>689</v>
      </c>
      <c r="L427" s="36">
        <v>11</v>
      </c>
      <c r="M427" s="36" t="s">
        <v>57</v>
      </c>
      <c r="N427" s="38">
        <v>0</v>
      </c>
      <c r="O427" s="36" t="s">
        <v>29</v>
      </c>
      <c r="P427" s="36"/>
      <c r="Q427" s="39"/>
      <c r="R427" s="39"/>
      <c r="S427" s="39"/>
      <c r="T427" s="39"/>
      <c r="U427" s="39"/>
      <c r="V427" s="39"/>
      <c r="W427" s="39"/>
      <c r="X427" s="39"/>
      <c r="Y427" s="39"/>
      <c r="Z427" s="39"/>
      <c r="AA427" s="39"/>
      <c r="AB427" s="163"/>
      <c r="AC427" s="163"/>
    </row>
    <row r="428" spans="1:29" ht="16.5" x14ac:dyDescent="0.15">
      <c r="A428" s="35" t="s">
        <v>7</v>
      </c>
      <c r="B428" s="35" t="s">
        <v>696</v>
      </c>
      <c r="C428" s="36"/>
      <c r="D428" s="35" t="s">
        <v>7</v>
      </c>
      <c r="E428" s="14" t="s">
        <v>709</v>
      </c>
      <c r="F428" s="16">
        <v>88073.8</v>
      </c>
      <c r="G428" s="16">
        <v>83088.490566037741</v>
      </c>
      <c r="H428" s="37">
        <v>0.3</v>
      </c>
      <c r="I428" s="16">
        <v>24926.547169811322</v>
      </c>
      <c r="J428" s="15"/>
      <c r="K428" s="92" t="s">
        <v>711</v>
      </c>
      <c r="L428" s="36">
        <v>11</v>
      </c>
      <c r="M428" s="36" t="s">
        <v>67</v>
      </c>
      <c r="N428" s="38">
        <v>14541.320754716988</v>
      </c>
      <c r="O428" s="36" t="s">
        <v>29</v>
      </c>
      <c r="P428" s="36"/>
      <c r="Q428" s="39"/>
      <c r="R428" s="39"/>
      <c r="S428" s="39"/>
      <c r="T428" s="39"/>
      <c r="U428" s="39"/>
      <c r="V428" s="39"/>
      <c r="W428" s="39"/>
      <c r="X428" s="39"/>
      <c r="Y428" s="39"/>
      <c r="Z428" s="39"/>
      <c r="AA428" s="39"/>
      <c r="AB428" s="163"/>
      <c r="AC428" s="163"/>
    </row>
    <row r="429" spans="1:29" ht="16.5" x14ac:dyDescent="0.15">
      <c r="A429" s="35" t="s">
        <v>7</v>
      </c>
      <c r="B429" s="35" t="s">
        <v>696</v>
      </c>
      <c r="C429" s="48"/>
      <c r="D429" s="49" t="s">
        <v>7</v>
      </c>
      <c r="E429" s="14" t="s">
        <v>705</v>
      </c>
      <c r="F429" s="16">
        <v>11424</v>
      </c>
      <c r="G429" s="16">
        <v>10777.358490566037</v>
      </c>
      <c r="H429" s="37">
        <v>0.3</v>
      </c>
      <c r="I429" s="16">
        <v>3233.2075471698113</v>
      </c>
      <c r="J429" s="50"/>
      <c r="K429" s="35" t="s">
        <v>689</v>
      </c>
      <c r="L429" s="36">
        <v>11</v>
      </c>
      <c r="M429" s="36" t="s">
        <v>57</v>
      </c>
      <c r="N429" s="38">
        <v>0</v>
      </c>
      <c r="O429" s="36" t="s">
        <v>29</v>
      </c>
      <c r="P429" s="48"/>
      <c r="Q429" s="163"/>
      <c r="R429" s="163"/>
      <c r="S429" s="163"/>
      <c r="T429" s="163"/>
      <c r="U429" s="163"/>
      <c r="V429" s="163"/>
      <c r="W429" s="163"/>
      <c r="X429" s="163"/>
      <c r="Y429" s="163"/>
      <c r="Z429" s="163"/>
      <c r="AA429" s="163"/>
      <c r="AB429" s="163"/>
      <c r="AC429" s="163"/>
    </row>
    <row r="430" spans="1:29" ht="16.5" x14ac:dyDescent="0.15">
      <c r="A430" s="35" t="s">
        <v>7</v>
      </c>
      <c r="B430" s="35" t="s">
        <v>696</v>
      </c>
      <c r="C430" s="48"/>
      <c r="D430" s="49" t="s">
        <v>7</v>
      </c>
      <c r="E430" s="14" t="s">
        <v>874</v>
      </c>
      <c r="F430" s="16">
        <v>797005</v>
      </c>
      <c r="G430" s="16">
        <v>751891.50943396217</v>
      </c>
      <c r="H430" s="37">
        <v>0.60281078252427178</v>
      </c>
      <c r="I430" s="16">
        <v>453248.30917524261</v>
      </c>
      <c r="J430" s="50"/>
      <c r="K430" s="35" t="s">
        <v>694</v>
      </c>
      <c r="L430" s="36">
        <v>11</v>
      </c>
      <c r="M430" s="36" t="s">
        <v>57</v>
      </c>
      <c r="N430" s="38">
        <v>0</v>
      </c>
      <c r="O430" s="36" t="s">
        <v>29</v>
      </c>
      <c r="P430" s="48"/>
      <c r="Q430" s="39"/>
      <c r="R430" s="39"/>
      <c r="S430" s="39"/>
      <c r="T430" s="39"/>
      <c r="U430" s="39"/>
      <c r="V430" s="39"/>
      <c r="W430" s="39"/>
      <c r="X430" s="39"/>
      <c r="Y430" s="39"/>
      <c r="Z430" s="39"/>
      <c r="AA430" s="39"/>
      <c r="AB430" s="39"/>
      <c r="AC430" s="39"/>
    </row>
    <row r="431" spans="1:29" ht="16.5" x14ac:dyDescent="0.15">
      <c r="A431" s="35" t="s">
        <v>7</v>
      </c>
      <c r="B431" s="35" t="s">
        <v>696</v>
      </c>
      <c r="C431" s="48"/>
      <c r="D431" s="49" t="s">
        <v>7</v>
      </c>
      <c r="E431" s="14" t="s">
        <v>717</v>
      </c>
      <c r="F431" s="16">
        <v>104760</v>
      </c>
      <c r="G431" s="16">
        <v>98830.188679245271</v>
      </c>
      <c r="H431" s="37">
        <v>0.3</v>
      </c>
      <c r="I431" s="16">
        <v>29649.056603773581</v>
      </c>
      <c r="J431" s="50"/>
      <c r="K431" s="35" t="s">
        <v>682</v>
      </c>
      <c r="L431" s="36">
        <v>11</v>
      </c>
      <c r="M431" s="36" t="s">
        <v>67</v>
      </c>
      <c r="N431" s="38">
        <v>19584.905660377361</v>
      </c>
      <c r="O431" s="36" t="s">
        <v>29</v>
      </c>
      <c r="P431" s="48"/>
      <c r="Q431" s="39"/>
      <c r="R431" s="39"/>
      <c r="S431" s="39"/>
      <c r="T431" s="39"/>
      <c r="U431" s="39"/>
      <c r="V431" s="39"/>
      <c r="W431" s="39"/>
      <c r="X431" s="39"/>
      <c r="Y431" s="39"/>
      <c r="Z431" s="39"/>
      <c r="AA431" s="39"/>
      <c r="AB431" s="39"/>
      <c r="AC431" s="39"/>
    </row>
    <row r="432" spans="1:29" ht="16.5" x14ac:dyDescent="0.15">
      <c r="A432" s="35" t="s">
        <v>7</v>
      </c>
      <c r="B432" s="35" t="s">
        <v>696</v>
      </c>
      <c r="C432" s="48"/>
      <c r="D432" s="49" t="s">
        <v>7</v>
      </c>
      <c r="E432" s="14" t="s">
        <v>810</v>
      </c>
      <c r="F432" s="16">
        <v>84600</v>
      </c>
      <c r="G432" s="16">
        <v>79811.320754716973</v>
      </c>
      <c r="H432" s="37">
        <v>0.3</v>
      </c>
      <c r="I432" s="16">
        <v>23943.39622641509</v>
      </c>
      <c r="J432" s="50"/>
      <c r="K432" s="35" t="s">
        <v>788</v>
      </c>
      <c r="L432" s="36">
        <v>11</v>
      </c>
      <c r="M432" s="36" t="s">
        <v>57</v>
      </c>
      <c r="N432" s="38">
        <v>0</v>
      </c>
      <c r="O432" s="36" t="s">
        <v>29</v>
      </c>
      <c r="P432" s="48"/>
      <c r="Q432" s="39"/>
      <c r="R432" s="39"/>
      <c r="S432" s="39"/>
      <c r="T432" s="39"/>
      <c r="U432" s="39"/>
      <c r="V432" s="39"/>
      <c r="W432" s="39"/>
      <c r="X432" s="39"/>
      <c r="Y432" s="39"/>
      <c r="Z432" s="39"/>
      <c r="AA432" s="39"/>
      <c r="AB432" s="39"/>
      <c r="AC432" s="39"/>
    </row>
    <row r="433" spans="1:29" ht="16.5" x14ac:dyDescent="0.15">
      <c r="A433" s="35" t="s">
        <v>7</v>
      </c>
      <c r="B433" s="35" t="s">
        <v>696</v>
      </c>
      <c r="C433" s="48"/>
      <c r="D433" s="49" t="s">
        <v>7</v>
      </c>
      <c r="E433" s="14" t="s">
        <v>719</v>
      </c>
      <c r="F433" s="16">
        <v>41311</v>
      </c>
      <c r="G433" s="16">
        <v>38972.641509433961</v>
      </c>
      <c r="H433" s="37">
        <v>0.29999999999999977</v>
      </c>
      <c r="I433" s="16">
        <v>11691.792452830179</v>
      </c>
      <c r="J433" s="50"/>
      <c r="K433" s="92" t="s">
        <v>720</v>
      </c>
      <c r="L433" s="36">
        <v>11</v>
      </c>
      <c r="M433" s="36" t="s">
        <v>57</v>
      </c>
      <c r="N433" s="38">
        <v>0</v>
      </c>
      <c r="O433" s="36" t="s">
        <v>29</v>
      </c>
      <c r="P433" s="48"/>
      <c r="Q433" s="39"/>
      <c r="R433" s="39"/>
      <c r="S433" s="39"/>
      <c r="T433" s="39"/>
      <c r="U433" s="39"/>
      <c r="V433" s="39"/>
      <c r="W433" s="39"/>
      <c r="X433" s="39"/>
      <c r="Y433" s="39"/>
      <c r="Z433" s="39"/>
      <c r="AA433" s="39"/>
      <c r="AB433" s="39"/>
      <c r="AC433" s="39"/>
    </row>
    <row r="434" spans="1:29" ht="16.5" x14ac:dyDescent="0.15">
      <c r="A434" s="35" t="s">
        <v>71</v>
      </c>
      <c r="B434" s="35" t="s">
        <v>878</v>
      </c>
      <c r="C434" s="36"/>
      <c r="D434" s="35" t="s">
        <v>7</v>
      </c>
      <c r="E434" s="14" t="s">
        <v>886</v>
      </c>
      <c r="F434" s="16">
        <v>600000</v>
      </c>
      <c r="G434" s="16">
        <v>540540.54054054047</v>
      </c>
      <c r="H434" s="37">
        <v>0.11331363117712219</v>
      </c>
      <c r="I434" s="16">
        <v>61250.61144709307</v>
      </c>
      <c r="J434" s="15"/>
      <c r="K434" s="35" t="s">
        <v>887</v>
      </c>
      <c r="L434" s="36">
        <v>12</v>
      </c>
      <c r="M434" s="36" t="s">
        <v>57</v>
      </c>
      <c r="N434" s="38"/>
      <c r="O434" s="36" t="s">
        <v>74</v>
      </c>
      <c r="P434" s="36"/>
      <c r="Q434" s="39" t="s">
        <v>888</v>
      </c>
      <c r="R434" s="40">
        <v>0</v>
      </c>
      <c r="S434" s="71">
        <v>0</v>
      </c>
      <c r="T434" s="71">
        <v>0</v>
      </c>
      <c r="U434" s="39" t="s">
        <v>889</v>
      </c>
      <c r="V434" s="40">
        <v>0.6</v>
      </c>
      <c r="W434" s="71">
        <v>324324.59999999998</v>
      </c>
      <c r="X434" s="71">
        <v>36751</v>
      </c>
      <c r="Y434" s="39" t="s">
        <v>882</v>
      </c>
      <c r="Z434" s="40">
        <v>0.4</v>
      </c>
      <c r="AA434" s="39">
        <v>216216</v>
      </c>
      <c r="AB434" s="39">
        <v>24500</v>
      </c>
      <c r="AC434" s="39" t="s">
        <v>59</v>
      </c>
    </row>
    <row r="435" spans="1:29" ht="16.5" x14ac:dyDescent="0.15">
      <c r="A435" s="35" t="s">
        <v>36</v>
      </c>
      <c r="B435" s="35" t="s">
        <v>878</v>
      </c>
      <c r="C435" s="36"/>
      <c r="D435" s="35" t="s">
        <v>36</v>
      </c>
      <c r="E435" s="14" t="s">
        <v>890</v>
      </c>
      <c r="F435" s="16">
        <v>645760</v>
      </c>
      <c r="G435" s="16">
        <v>609207.54716981133</v>
      </c>
      <c r="H435" s="37">
        <v>0.79396558620689661</v>
      </c>
      <c r="I435" s="16">
        <v>483689.82731034484</v>
      </c>
      <c r="J435" s="15"/>
      <c r="K435" s="35" t="s">
        <v>880</v>
      </c>
      <c r="L435" s="36">
        <v>12</v>
      </c>
      <c r="M435" s="36" t="s">
        <v>57</v>
      </c>
      <c r="N435" s="38"/>
      <c r="O435" s="36" t="s">
        <v>40</v>
      </c>
      <c r="P435" s="36"/>
      <c r="Q435" s="39" t="s">
        <v>882</v>
      </c>
      <c r="R435" s="40">
        <v>1</v>
      </c>
      <c r="S435" s="71">
        <v>609207.54716981133</v>
      </c>
      <c r="T435" s="71">
        <v>483689.82731034484</v>
      </c>
      <c r="U435" s="39">
        <v>0</v>
      </c>
      <c r="V435" s="40">
        <v>0</v>
      </c>
      <c r="W435" s="71">
        <v>0</v>
      </c>
      <c r="X435" s="71">
        <v>0</v>
      </c>
      <c r="Y435" s="39">
        <v>0</v>
      </c>
      <c r="Z435" s="39">
        <v>0</v>
      </c>
      <c r="AA435" s="39">
        <v>0</v>
      </c>
      <c r="AB435" s="39">
        <v>0</v>
      </c>
      <c r="AC435" s="39" t="s">
        <v>108</v>
      </c>
    </row>
    <row r="436" spans="1:29" ht="16.5" x14ac:dyDescent="0.15">
      <c r="A436" s="35" t="s">
        <v>36</v>
      </c>
      <c r="B436" s="35" t="s">
        <v>878</v>
      </c>
      <c r="C436" s="36"/>
      <c r="D436" s="35" t="s">
        <v>36</v>
      </c>
      <c r="E436" s="14" t="s">
        <v>890</v>
      </c>
      <c r="F436" s="16">
        <v>125600</v>
      </c>
      <c r="G436" s="16">
        <v>107350.42735042736</v>
      </c>
      <c r="H436" s="37">
        <v>0.1242</v>
      </c>
      <c r="I436" s="16">
        <v>13332.923076923078</v>
      </c>
      <c r="J436" s="15"/>
      <c r="K436" s="35" t="s">
        <v>880</v>
      </c>
      <c r="L436" s="36">
        <v>12</v>
      </c>
      <c r="M436" s="36" t="s">
        <v>57</v>
      </c>
      <c r="N436" s="38"/>
      <c r="O436" s="36" t="s">
        <v>40</v>
      </c>
      <c r="P436" s="36"/>
      <c r="Q436" s="39" t="s">
        <v>882</v>
      </c>
      <c r="R436" s="40">
        <v>1</v>
      </c>
      <c r="S436" s="71">
        <v>107350.42735042736</v>
      </c>
      <c r="T436" s="71">
        <v>13332.923076923078</v>
      </c>
      <c r="U436" s="39">
        <v>0</v>
      </c>
      <c r="V436" s="40">
        <v>0</v>
      </c>
      <c r="W436" s="71">
        <v>0</v>
      </c>
      <c r="X436" s="71">
        <v>0</v>
      </c>
      <c r="Y436" s="39">
        <v>0</v>
      </c>
      <c r="Z436" s="39">
        <v>0</v>
      </c>
      <c r="AA436" s="39">
        <v>0</v>
      </c>
      <c r="AB436" s="39">
        <v>0</v>
      </c>
      <c r="AC436" s="39" t="s">
        <v>108</v>
      </c>
    </row>
    <row r="437" spans="1:29" ht="16.5" x14ac:dyDescent="0.15">
      <c r="A437" s="35" t="s">
        <v>36</v>
      </c>
      <c r="B437" s="35" t="s">
        <v>878</v>
      </c>
      <c r="C437" s="36"/>
      <c r="D437" s="35" t="s">
        <v>36</v>
      </c>
      <c r="E437" s="14" t="s">
        <v>879</v>
      </c>
      <c r="F437" s="16">
        <v>1496000</v>
      </c>
      <c r="G437" s="16">
        <v>1411320.754716981</v>
      </c>
      <c r="H437" s="37">
        <v>0.47189999999999999</v>
      </c>
      <c r="I437" s="16">
        <v>666002.26415094326</v>
      </c>
      <c r="J437" s="15"/>
      <c r="K437" s="35" t="s">
        <v>880</v>
      </c>
      <c r="L437" s="36">
        <v>12</v>
      </c>
      <c r="M437" s="36" t="s">
        <v>57</v>
      </c>
      <c r="N437" s="38"/>
      <c r="O437" s="36" t="s">
        <v>40</v>
      </c>
      <c r="P437" s="36"/>
      <c r="Q437" s="39" t="s">
        <v>882</v>
      </c>
      <c r="R437" s="40">
        <v>1</v>
      </c>
      <c r="S437" s="71">
        <v>1411320.754716981</v>
      </c>
      <c r="T437" s="71">
        <v>666002.26415094326</v>
      </c>
      <c r="U437" s="39">
        <v>0</v>
      </c>
      <c r="V437" s="40">
        <v>0</v>
      </c>
      <c r="W437" s="71">
        <v>0</v>
      </c>
      <c r="X437" s="71">
        <v>0</v>
      </c>
      <c r="Y437" s="39">
        <v>0</v>
      </c>
      <c r="Z437" s="39">
        <v>0</v>
      </c>
      <c r="AA437" s="39">
        <v>0</v>
      </c>
      <c r="AB437" s="39">
        <v>0</v>
      </c>
      <c r="AC437" s="39" t="s">
        <v>108</v>
      </c>
    </row>
    <row r="438" spans="1:29" ht="16.5" x14ac:dyDescent="0.15">
      <c r="A438" s="35" t="s">
        <v>7</v>
      </c>
      <c r="B438" s="35" t="s">
        <v>878</v>
      </c>
      <c r="C438" s="36"/>
      <c r="D438" s="35" t="s">
        <v>7</v>
      </c>
      <c r="E438" s="14" t="s">
        <v>875</v>
      </c>
      <c r="F438" s="16">
        <v>279000</v>
      </c>
      <c r="G438" s="16">
        <v>238461.53846153847</v>
      </c>
      <c r="H438" s="37">
        <v>9.6800000000000011E-2</v>
      </c>
      <c r="I438" s="16">
        <v>23083.076923076926</v>
      </c>
      <c r="J438" s="15"/>
      <c r="K438" s="35" t="s">
        <v>891</v>
      </c>
      <c r="L438" s="36">
        <v>12</v>
      </c>
      <c r="M438" s="36" t="s">
        <v>57</v>
      </c>
      <c r="N438" s="38"/>
      <c r="O438" s="36" t="s">
        <v>29</v>
      </c>
      <c r="P438" s="36"/>
      <c r="Q438" s="39" t="s">
        <v>877</v>
      </c>
      <c r="R438" s="40">
        <v>0</v>
      </c>
      <c r="S438" s="71">
        <v>0</v>
      </c>
      <c r="T438" s="71">
        <v>0</v>
      </c>
      <c r="U438" s="39" t="s">
        <v>882</v>
      </c>
      <c r="V438" s="40">
        <v>1</v>
      </c>
      <c r="W438" s="71">
        <v>238461.53846153847</v>
      </c>
      <c r="X438" s="71">
        <v>23083.076923076926</v>
      </c>
      <c r="Y438" s="39">
        <v>0</v>
      </c>
      <c r="Z438" s="39">
        <v>0</v>
      </c>
      <c r="AA438" s="39">
        <v>0</v>
      </c>
      <c r="AB438" s="39">
        <v>0</v>
      </c>
      <c r="AC438" s="39" t="s">
        <v>59</v>
      </c>
    </row>
    <row r="439" spans="1:29" ht="16.5" x14ac:dyDescent="0.15">
      <c r="A439" s="35" t="s">
        <v>102</v>
      </c>
      <c r="B439" s="35" t="s">
        <v>878</v>
      </c>
      <c r="C439" s="36"/>
      <c r="D439" s="35" t="s">
        <v>102</v>
      </c>
      <c r="E439" s="14" t="s">
        <v>892</v>
      </c>
      <c r="F439" s="16">
        <v>1500000</v>
      </c>
      <c r="G439" s="16">
        <v>1415094.3396226414</v>
      </c>
      <c r="H439" s="37">
        <v>0.61250000000000004</v>
      </c>
      <c r="I439" s="16">
        <v>866745.28301886795</v>
      </c>
      <c r="J439" s="15"/>
      <c r="K439" s="35" t="s">
        <v>893</v>
      </c>
      <c r="L439" s="36">
        <v>12</v>
      </c>
      <c r="M439" s="36" t="s">
        <v>57</v>
      </c>
      <c r="N439" s="38"/>
      <c r="O439" s="36" t="s">
        <v>105</v>
      </c>
      <c r="P439" s="36"/>
      <c r="Q439" s="39" t="s">
        <v>894</v>
      </c>
      <c r="R439" s="40">
        <v>0</v>
      </c>
      <c r="S439" s="71">
        <v>0</v>
      </c>
      <c r="T439" s="71">
        <v>0</v>
      </c>
      <c r="U439" s="39" t="s">
        <v>882</v>
      </c>
      <c r="V439" s="40">
        <v>1</v>
      </c>
      <c r="W439" s="71">
        <v>1415094.3396226414</v>
      </c>
      <c r="X439" s="71">
        <v>866745.28301886795</v>
      </c>
      <c r="Y439" s="39">
        <v>0</v>
      </c>
      <c r="Z439" s="39">
        <v>0</v>
      </c>
      <c r="AA439" s="39">
        <v>0</v>
      </c>
      <c r="AB439" s="163">
        <v>0</v>
      </c>
      <c r="AC439" s="163" t="s">
        <v>68</v>
      </c>
    </row>
    <row r="440" spans="1:29" ht="16.5" x14ac:dyDescent="0.35">
      <c r="A440" s="35" t="s">
        <v>71</v>
      </c>
      <c r="B440" s="35" t="s">
        <v>878</v>
      </c>
      <c r="C440" s="12"/>
      <c r="D440" s="35" t="s">
        <v>7</v>
      </c>
      <c r="E440" s="41" t="s">
        <v>886</v>
      </c>
      <c r="F440" s="42">
        <v>2400000</v>
      </c>
      <c r="G440" s="42">
        <v>2162162.1621621619</v>
      </c>
      <c r="H440" s="19">
        <v>0.11331363117712219</v>
      </c>
      <c r="I440" s="42">
        <v>245002.44578837228</v>
      </c>
      <c r="J440" s="43"/>
      <c r="K440" s="35" t="s">
        <v>887</v>
      </c>
      <c r="L440" s="35">
        <v>10</v>
      </c>
      <c r="M440" s="35" t="s">
        <v>57</v>
      </c>
      <c r="N440" s="44"/>
      <c r="O440" s="35" t="s">
        <v>74</v>
      </c>
      <c r="P440" s="19" t="s">
        <v>895</v>
      </c>
      <c r="Q440" s="39" t="s">
        <v>888</v>
      </c>
      <c r="R440" s="40">
        <v>0</v>
      </c>
      <c r="S440" s="71">
        <v>0</v>
      </c>
      <c r="T440" s="71">
        <v>0</v>
      </c>
      <c r="U440" s="39" t="s">
        <v>889</v>
      </c>
      <c r="V440" s="40">
        <v>0.6</v>
      </c>
      <c r="W440" s="71">
        <v>1297297.2</v>
      </c>
      <c r="X440" s="71">
        <v>146984</v>
      </c>
      <c r="Y440" s="39" t="s">
        <v>882</v>
      </c>
      <c r="Z440" s="40">
        <v>0.4</v>
      </c>
      <c r="AA440" s="39">
        <v>864865</v>
      </c>
      <c r="AB440" s="163">
        <v>98018</v>
      </c>
      <c r="AC440" s="163" t="s">
        <v>59</v>
      </c>
    </row>
    <row r="441" spans="1:29" ht="16.5" x14ac:dyDescent="0.35">
      <c r="A441" s="35" t="s">
        <v>36</v>
      </c>
      <c r="B441" s="35" t="s">
        <v>878</v>
      </c>
      <c r="C441" s="12"/>
      <c r="D441" s="35" t="s">
        <v>36</v>
      </c>
      <c r="E441" s="41" t="s">
        <v>884</v>
      </c>
      <c r="F441" s="42">
        <v>720000</v>
      </c>
      <c r="G441" s="42">
        <v>679245.28301886783</v>
      </c>
      <c r="H441" s="19">
        <v>0.35760000000000003</v>
      </c>
      <c r="I441" s="42">
        <v>242898.11320754717</v>
      </c>
      <c r="J441" s="43"/>
      <c r="K441" s="35" t="s">
        <v>880</v>
      </c>
      <c r="L441" s="35">
        <v>10</v>
      </c>
      <c r="M441" s="35" t="s">
        <v>57</v>
      </c>
      <c r="N441" s="44"/>
      <c r="O441" s="35" t="s">
        <v>40</v>
      </c>
      <c r="P441" s="19" t="s">
        <v>885</v>
      </c>
      <c r="Q441" s="39" t="s">
        <v>882</v>
      </c>
      <c r="R441" s="40">
        <v>1</v>
      </c>
      <c r="S441" s="71">
        <v>679245.28301886783</v>
      </c>
      <c r="T441" s="71">
        <v>242898.11320754717</v>
      </c>
      <c r="U441" s="39">
        <v>0</v>
      </c>
      <c r="V441" s="40">
        <v>0</v>
      </c>
      <c r="W441" s="71">
        <v>0</v>
      </c>
      <c r="X441" s="71">
        <v>0</v>
      </c>
      <c r="Y441" s="39">
        <v>0</v>
      </c>
      <c r="Z441" s="39">
        <v>0</v>
      </c>
      <c r="AA441" s="39">
        <v>0</v>
      </c>
      <c r="AB441" s="163">
        <v>0</v>
      </c>
      <c r="AC441" s="163" t="s">
        <v>108</v>
      </c>
    </row>
    <row r="442" spans="1:29" ht="16.5" x14ac:dyDescent="0.15">
      <c r="A442" s="35" t="s">
        <v>71</v>
      </c>
      <c r="B442" s="35" t="s">
        <v>876</v>
      </c>
      <c r="C442" s="36"/>
      <c r="D442" s="35" t="s">
        <v>7</v>
      </c>
      <c r="E442" s="14" t="s">
        <v>896</v>
      </c>
      <c r="F442" s="16">
        <v>324500</v>
      </c>
      <c r="G442" s="16">
        <v>277350.42735042737</v>
      </c>
      <c r="H442" s="37">
        <v>0.04</v>
      </c>
      <c r="I442" s="16">
        <v>11094.017094017096</v>
      </c>
      <c r="J442" s="15"/>
      <c r="K442" s="35" t="s">
        <v>897</v>
      </c>
      <c r="L442" s="36">
        <v>11</v>
      </c>
      <c r="M442" s="36" t="s">
        <v>57</v>
      </c>
      <c r="N442" s="38"/>
      <c r="O442" s="36" t="s">
        <v>74</v>
      </c>
      <c r="P442" s="36"/>
      <c r="Q442" s="39"/>
      <c r="R442" s="39"/>
      <c r="S442" s="71"/>
      <c r="T442" s="71"/>
      <c r="U442" s="39" t="s">
        <v>882</v>
      </c>
      <c r="V442" s="40">
        <v>1</v>
      </c>
      <c r="W442" s="71">
        <v>277350.42735042737</v>
      </c>
      <c r="X442" s="71">
        <v>11094.017094017096</v>
      </c>
      <c r="Y442" s="39">
        <v>0</v>
      </c>
      <c r="Z442" s="39">
        <v>0</v>
      </c>
      <c r="AA442" s="39">
        <v>0</v>
      </c>
      <c r="AB442" s="163">
        <v>0</v>
      </c>
      <c r="AC442" s="163" t="s">
        <v>68</v>
      </c>
    </row>
    <row r="443" spans="1:29" ht="16.5" x14ac:dyDescent="0.15">
      <c r="A443" s="35" t="s">
        <v>102</v>
      </c>
      <c r="B443" s="35" t="s">
        <v>876</v>
      </c>
      <c r="C443" s="48"/>
      <c r="D443" s="49" t="s">
        <v>102</v>
      </c>
      <c r="E443" s="14" t="s">
        <v>892</v>
      </c>
      <c r="F443" s="16">
        <v>500000</v>
      </c>
      <c r="G443" s="16">
        <v>471698.11320754717</v>
      </c>
      <c r="H443" s="37">
        <v>0.61250000000000004</v>
      </c>
      <c r="I443" s="16">
        <v>288915.09433962265</v>
      </c>
      <c r="J443" s="50"/>
      <c r="K443" s="35" t="s">
        <v>893</v>
      </c>
      <c r="L443" s="36">
        <v>11</v>
      </c>
      <c r="M443" s="36" t="s">
        <v>57</v>
      </c>
      <c r="N443" s="38"/>
      <c r="O443" s="36" t="s">
        <v>105</v>
      </c>
      <c r="P443" s="48"/>
      <c r="Q443" s="39" t="s">
        <v>894</v>
      </c>
      <c r="R443" s="40">
        <v>0</v>
      </c>
      <c r="S443" s="71">
        <v>0</v>
      </c>
      <c r="T443" s="71">
        <v>0</v>
      </c>
      <c r="U443" s="39" t="s">
        <v>882</v>
      </c>
      <c r="V443" s="40">
        <v>1</v>
      </c>
      <c r="W443" s="71">
        <v>471698.11320754717</v>
      </c>
      <c r="X443" s="71">
        <v>288915.09433962265</v>
      </c>
      <c r="Y443" s="39">
        <v>0</v>
      </c>
      <c r="Z443" s="39">
        <v>0</v>
      </c>
      <c r="AA443" s="39">
        <v>0</v>
      </c>
      <c r="AB443" s="163">
        <v>0</v>
      </c>
      <c r="AC443" s="163" t="s">
        <v>68</v>
      </c>
    </row>
    <row r="444" spans="1:29" ht="16.5" x14ac:dyDescent="0.15">
      <c r="A444" s="35" t="s">
        <v>36</v>
      </c>
      <c r="B444" s="35" t="s">
        <v>906</v>
      </c>
      <c r="C444" s="36"/>
      <c r="D444" s="35" t="s">
        <v>36</v>
      </c>
      <c r="E444" s="14" t="s">
        <v>907</v>
      </c>
      <c r="F444" s="16">
        <v>13947.5</v>
      </c>
      <c r="G444" s="16">
        <v>13158.018867924528</v>
      </c>
      <c r="H444" s="37">
        <v>0.93188743502419791</v>
      </c>
      <c r="I444" s="16">
        <v>12261.792452830188</v>
      </c>
      <c r="J444" s="15"/>
      <c r="K444" s="35" t="s">
        <v>900</v>
      </c>
      <c r="L444" s="36">
        <v>12</v>
      </c>
      <c r="M444" s="36" t="s">
        <v>57</v>
      </c>
      <c r="N444" s="38">
        <v>0</v>
      </c>
      <c r="O444" s="36" t="s">
        <v>40</v>
      </c>
      <c r="P444" s="36"/>
      <c r="Q444" s="35" t="s">
        <v>900</v>
      </c>
      <c r="R444" s="40">
        <v>1</v>
      </c>
      <c r="S444" s="16">
        <v>13158.018867924528</v>
      </c>
      <c r="T444" s="16">
        <v>12261.792452830188</v>
      </c>
      <c r="U444" s="39">
        <v>0</v>
      </c>
      <c r="V444" s="40">
        <v>0</v>
      </c>
      <c r="W444" s="39">
        <v>0</v>
      </c>
      <c r="X444" s="39">
        <v>0</v>
      </c>
      <c r="Y444" s="39">
        <v>0</v>
      </c>
      <c r="Z444" s="39">
        <v>0</v>
      </c>
      <c r="AA444" s="39">
        <v>0</v>
      </c>
      <c r="AB444" s="39">
        <v>0</v>
      </c>
      <c r="AC444" s="39">
        <v>0</v>
      </c>
    </row>
    <row r="445" spans="1:29" ht="16.5" x14ac:dyDescent="0.15">
      <c r="A445" s="35" t="s">
        <v>36</v>
      </c>
      <c r="B445" s="35" t="s">
        <v>906</v>
      </c>
      <c r="C445" s="36"/>
      <c r="D445" s="35" t="s">
        <v>36</v>
      </c>
      <c r="E445" s="14" t="s">
        <v>908</v>
      </c>
      <c r="F445" s="16">
        <v>10052.5</v>
      </c>
      <c r="G445" s="16">
        <v>8591.8803418803418</v>
      </c>
      <c r="H445" s="37">
        <v>4.9987565282268095E-2</v>
      </c>
      <c r="I445" s="16">
        <v>429.4871794871795</v>
      </c>
      <c r="J445" s="15"/>
      <c r="K445" s="35" t="s">
        <v>900</v>
      </c>
      <c r="L445" s="36">
        <v>12</v>
      </c>
      <c r="M445" s="36" t="s">
        <v>57</v>
      </c>
      <c r="N445" s="38">
        <v>0</v>
      </c>
      <c r="O445" s="36" t="s">
        <v>40</v>
      </c>
      <c r="P445" s="36"/>
      <c r="Q445" s="35" t="s">
        <v>900</v>
      </c>
      <c r="R445" s="40">
        <v>1</v>
      </c>
      <c r="S445" s="16">
        <v>8591.8803418803418</v>
      </c>
      <c r="T445" s="16">
        <v>429.4871794871795</v>
      </c>
      <c r="U445" s="39">
        <v>0</v>
      </c>
      <c r="V445" s="40">
        <v>0</v>
      </c>
      <c r="W445" s="39">
        <v>0</v>
      </c>
      <c r="X445" s="39">
        <v>0</v>
      </c>
      <c r="Y445" s="39">
        <v>0</v>
      </c>
      <c r="Z445" s="39">
        <v>0</v>
      </c>
      <c r="AA445" s="39">
        <v>0</v>
      </c>
      <c r="AB445" s="39">
        <v>0</v>
      </c>
      <c r="AC445" s="39">
        <v>0</v>
      </c>
    </row>
    <row r="446" spans="1:29" ht="16.5" x14ac:dyDescent="0.15">
      <c r="A446" s="35" t="s">
        <v>36</v>
      </c>
      <c r="B446" s="35" t="s">
        <v>906</v>
      </c>
      <c r="C446" s="36"/>
      <c r="D446" s="35" t="s">
        <v>36</v>
      </c>
      <c r="E446" s="14" t="s">
        <v>899</v>
      </c>
      <c r="F446" s="16">
        <v>2830000</v>
      </c>
      <c r="G446" s="16">
        <v>2669811.3207547166</v>
      </c>
      <c r="H446" s="37">
        <v>0.68200000000000016</v>
      </c>
      <c r="I446" s="16">
        <v>1820811.3207547171</v>
      </c>
      <c r="J446" s="15"/>
      <c r="K446" s="35" t="s">
        <v>900</v>
      </c>
      <c r="L446" s="36">
        <v>12</v>
      </c>
      <c r="M446" s="36" t="s">
        <v>57</v>
      </c>
      <c r="N446" s="38">
        <v>0</v>
      </c>
      <c r="O446" s="36" t="s">
        <v>40</v>
      </c>
      <c r="P446" s="36"/>
      <c r="Q446" s="35" t="s">
        <v>900</v>
      </c>
      <c r="R446" s="40">
        <v>1</v>
      </c>
      <c r="S446" s="16">
        <v>2669811.3207547166</v>
      </c>
      <c r="T446" s="16">
        <v>1820811.3207547171</v>
      </c>
      <c r="U446" s="39">
        <v>0</v>
      </c>
      <c r="V446" s="40">
        <v>0</v>
      </c>
      <c r="W446" s="39">
        <v>0</v>
      </c>
      <c r="X446" s="39">
        <v>0</v>
      </c>
      <c r="Y446" s="39">
        <v>0</v>
      </c>
      <c r="Z446" s="39">
        <v>0</v>
      </c>
      <c r="AA446" s="39">
        <v>0</v>
      </c>
      <c r="AB446" s="39">
        <v>0</v>
      </c>
      <c r="AC446" s="39">
        <v>0</v>
      </c>
    </row>
    <row r="447" spans="1:29" ht="16.5" x14ac:dyDescent="0.15">
      <c r="A447" s="35" t="s">
        <v>36</v>
      </c>
      <c r="B447" s="35" t="s">
        <v>906</v>
      </c>
      <c r="C447" s="36"/>
      <c r="D447" s="35" t="s">
        <v>36</v>
      </c>
      <c r="E447" s="14" t="s">
        <v>899</v>
      </c>
      <c r="F447" s="16">
        <v>170000</v>
      </c>
      <c r="G447" s="16">
        <v>160377.35849056602</v>
      </c>
      <c r="H447" s="37">
        <v>1</v>
      </c>
      <c r="I447" s="16">
        <v>160377.35849056602</v>
      </c>
      <c r="J447" s="15"/>
      <c r="K447" s="35" t="s">
        <v>900</v>
      </c>
      <c r="L447" s="36">
        <v>12</v>
      </c>
      <c r="M447" s="36" t="s">
        <v>57</v>
      </c>
      <c r="N447" s="38">
        <v>0</v>
      </c>
      <c r="O447" s="36" t="s">
        <v>40</v>
      </c>
      <c r="P447" s="36"/>
      <c r="Q447" s="35" t="s">
        <v>900</v>
      </c>
      <c r="R447" s="40">
        <v>1</v>
      </c>
      <c r="S447" s="16">
        <v>160377.35849056602</v>
      </c>
      <c r="T447" s="16">
        <v>160377.35849056602</v>
      </c>
      <c r="U447" s="39">
        <v>0</v>
      </c>
      <c r="V447" s="40">
        <v>0</v>
      </c>
      <c r="W447" s="39">
        <v>0</v>
      </c>
      <c r="X447" s="39">
        <v>0</v>
      </c>
      <c r="Y447" s="39">
        <v>0</v>
      </c>
      <c r="Z447" s="39">
        <v>0</v>
      </c>
      <c r="AA447" s="39">
        <v>0</v>
      </c>
      <c r="AB447" s="39">
        <v>0</v>
      </c>
      <c r="AC447" s="39">
        <v>0</v>
      </c>
    </row>
    <row r="448" spans="1:29" ht="16.5" x14ac:dyDescent="0.15">
      <c r="A448" s="35" t="s">
        <v>36</v>
      </c>
      <c r="B448" s="35" t="s">
        <v>906</v>
      </c>
      <c r="C448" s="36"/>
      <c r="D448" s="35" t="s">
        <v>36</v>
      </c>
      <c r="E448" s="14" t="s">
        <v>909</v>
      </c>
      <c r="F448" s="16">
        <v>560000</v>
      </c>
      <c r="G448" s="16">
        <v>528301.88679245277</v>
      </c>
      <c r="H448" s="37">
        <v>0.15</v>
      </c>
      <c r="I448" s="16">
        <v>79245.283018867907</v>
      </c>
      <c r="J448" s="15"/>
      <c r="K448" s="35" t="s">
        <v>900</v>
      </c>
      <c r="L448" s="36">
        <v>12</v>
      </c>
      <c r="M448" s="36" t="s">
        <v>57</v>
      </c>
      <c r="N448" s="38">
        <v>0</v>
      </c>
      <c r="O448" s="36" t="s">
        <v>40</v>
      </c>
      <c r="P448" s="36"/>
      <c r="Q448" s="35" t="s">
        <v>900</v>
      </c>
      <c r="R448" s="40">
        <v>1</v>
      </c>
      <c r="S448" s="16">
        <v>528301.88679245277</v>
      </c>
      <c r="T448" s="16">
        <v>79245.283018867907</v>
      </c>
      <c r="U448" s="39">
        <v>0</v>
      </c>
      <c r="V448" s="40">
        <v>0</v>
      </c>
      <c r="W448" s="39">
        <v>0</v>
      </c>
      <c r="X448" s="39">
        <v>0</v>
      </c>
      <c r="Y448" s="39">
        <v>0</v>
      </c>
      <c r="Z448" s="39">
        <v>0</v>
      </c>
      <c r="AA448" s="39">
        <v>0</v>
      </c>
      <c r="AB448" s="39">
        <v>0</v>
      </c>
      <c r="AC448" s="39">
        <v>0</v>
      </c>
    </row>
    <row r="449" spans="1:29" ht="16.5" x14ac:dyDescent="0.15">
      <c r="A449" s="35" t="s">
        <v>36</v>
      </c>
      <c r="B449" s="35" t="s">
        <v>906</v>
      </c>
      <c r="C449" s="36"/>
      <c r="D449" s="35" t="s">
        <v>36</v>
      </c>
      <c r="E449" s="14" t="s">
        <v>910</v>
      </c>
      <c r="F449" s="16">
        <v>213950</v>
      </c>
      <c r="G449" s="16">
        <v>182863.24786324787</v>
      </c>
      <c r="H449" s="37">
        <v>0.71909105321336753</v>
      </c>
      <c r="I449" s="16">
        <v>131495.32550000001</v>
      </c>
      <c r="J449" s="15"/>
      <c r="K449" s="35" t="s">
        <v>900</v>
      </c>
      <c r="L449" s="36">
        <v>12</v>
      </c>
      <c r="M449" s="36" t="s">
        <v>57</v>
      </c>
      <c r="N449" s="38">
        <v>0</v>
      </c>
      <c r="O449" s="36" t="s">
        <v>40</v>
      </c>
      <c r="P449" s="36"/>
      <c r="Q449" s="35" t="s">
        <v>900</v>
      </c>
      <c r="R449" s="40">
        <v>1</v>
      </c>
      <c r="S449" s="16">
        <v>182863.24786324787</v>
      </c>
      <c r="T449" s="16">
        <v>131495.32550000001</v>
      </c>
      <c r="U449" s="39">
        <v>0</v>
      </c>
      <c r="V449" s="40">
        <v>0</v>
      </c>
      <c r="W449" s="39">
        <v>0</v>
      </c>
      <c r="X449" s="39">
        <v>0</v>
      </c>
      <c r="Y449" s="39">
        <v>0</v>
      </c>
      <c r="Z449" s="39">
        <v>0</v>
      </c>
      <c r="AA449" s="39">
        <v>0</v>
      </c>
      <c r="AB449" s="39">
        <v>0</v>
      </c>
      <c r="AC449" s="39">
        <v>0</v>
      </c>
    </row>
    <row r="450" spans="1:29" ht="16.5" x14ac:dyDescent="0.15">
      <c r="A450" s="35" t="s">
        <v>36</v>
      </c>
      <c r="B450" s="35" t="s">
        <v>906</v>
      </c>
      <c r="C450" s="36"/>
      <c r="D450" s="35" t="s">
        <v>36</v>
      </c>
      <c r="E450" s="14" t="s">
        <v>910</v>
      </c>
      <c r="F450" s="16">
        <v>116050</v>
      </c>
      <c r="G450" s="16">
        <v>99188.034188034188</v>
      </c>
      <c r="H450" s="37">
        <v>5.213270473933649E-2</v>
      </c>
      <c r="I450" s="16">
        <v>5170.9404999999997</v>
      </c>
      <c r="J450" s="15"/>
      <c r="K450" s="35" t="s">
        <v>900</v>
      </c>
      <c r="L450" s="36">
        <v>12</v>
      </c>
      <c r="M450" s="36" t="s">
        <v>57</v>
      </c>
      <c r="N450" s="38">
        <v>0</v>
      </c>
      <c r="O450" s="36" t="s">
        <v>40</v>
      </c>
      <c r="P450" s="36"/>
      <c r="Q450" s="35" t="s">
        <v>900</v>
      </c>
      <c r="R450" s="40">
        <v>1</v>
      </c>
      <c r="S450" s="16">
        <v>99188.034188034188</v>
      </c>
      <c r="T450" s="16">
        <v>5170.9404999999997</v>
      </c>
      <c r="U450" s="39">
        <v>0</v>
      </c>
      <c r="V450" s="40">
        <v>0</v>
      </c>
      <c r="W450" s="39">
        <v>0</v>
      </c>
      <c r="X450" s="39">
        <v>0</v>
      </c>
      <c r="Y450" s="39">
        <v>0</v>
      </c>
      <c r="Z450" s="39">
        <v>0</v>
      </c>
      <c r="AA450" s="39">
        <v>0</v>
      </c>
      <c r="AB450" s="39">
        <v>0</v>
      </c>
      <c r="AC450" s="39">
        <v>0</v>
      </c>
    </row>
    <row r="451" spans="1:29" ht="16.5" x14ac:dyDescent="0.15">
      <c r="A451" s="35" t="s">
        <v>36</v>
      </c>
      <c r="B451" s="35" t="s">
        <v>906</v>
      </c>
      <c r="C451" s="36"/>
      <c r="D451" s="35" t="s">
        <v>36</v>
      </c>
      <c r="E451" s="14" t="s">
        <v>911</v>
      </c>
      <c r="F451" s="16">
        <v>100000</v>
      </c>
      <c r="G451" s="16">
        <v>94339.622641509428</v>
      </c>
      <c r="H451" s="37">
        <v>0.75</v>
      </c>
      <c r="I451" s="16">
        <v>70754.716981132078</v>
      </c>
      <c r="J451" s="15"/>
      <c r="K451" s="35" t="s">
        <v>900</v>
      </c>
      <c r="L451" s="36">
        <v>12</v>
      </c>
      <c r="M451" s="36" t="s">
        <v>57</v>
      </c>
      <c r="N451" s="38">
        <v>0</v>
      </c>
      <c r="O451" s="36" t="s">
        <v>40</v>
      </c>
      <c r="P451" s="36"/>
      <c r="Q451" s="35" t="s">
        <v>900</v>
      </c>
      <c r="R451" s="40">
        <v>1</v>
      </c>
      <c r="S451" s="16">
        <v>94339.622641509428</v>
      </c>
      <c r="T451" s="16">
        <v>70754.716981132078</v>
      </c>
      <c r="U451" s="39">
        <v>0</v>
      </c>
      <c r="V451" s="40">
        <v>0</v>
      </c>
      <c r="W451" s="39">
        <v>0</v>
      </c>
      <c r="X451" s="39">
        <v>0</v>
      </c>
      <c r="Y451" s="39">
        <v>0</v>
      </c>
      <c r="Z451" s="39">
        <v>0</v>
      </c>
      <c r="AA451" s="39">
        <v>0</v>
      </c>
      <c r="AB451" s="39">
        <v>0</v>
      </c>
      <c r="AC451" s="39">
        <v>0</v>
      </c>
    </row>
    <row r="452" spans="1:29" ht="16.5" x14ac:dyDescent="0.15">
      <c r="A452" s="35" t="s">
        <v>36</v>
      </c>
      <c r="B452" s="35" t="s">
        <v>906</v>
      </c>
      <c r="C452" s="36"/>
      <c r="D452" s="35" t="s">
        <v>36</v>
      </c>
      <c r="E452" s="14" t="s">
        <v>911</v>
      </c>
      <c r="F452" s="16">
        <v>97500</v>
      </c>
      <c r="G452" s="16">
        <v>83333.333333333343</v>
      </c>
      <c r="H452" s="37">
        <v>0.05</v>
      </c>
      <c r="I452" s="16">
        <v>4166.666666666667</v>
      </c>
      <c r="J452" s="15"/>
      <c r="K452" s="35" t="s">
        <v>900</v>
      </c>
      <c r="L452" s="36">
        <v>12</v>
      </c>
      <c r="M452" s="36" t="s">
        <v>57</v>
      </c>
      <c r="N452" s="38">
        <v>0</v>
      </c>
      <c r="O452" s="36" t="s">
        <v>40</v>
      </c>
      <c r="P452" s="36"/>
      <c r="Q452" s="35" t="s">
        <v>900</v>
      </c>
      <c r="R452" s="40">
        <v>1</v>
      </c>
      <c r="S452" s="16">
        <v>83333.333333333343</v>
      </c>
      <c r="T452" s="16">
        <v>4166.666666666667</v>
      </c>
      <c r="U452" s="39">
        <v>0</v>
      </c>
      <c r="V452" s="40">
        <v>0</v>
      </c>
      <c r="W452" s="39">
        <v>0</v>
      </c>
      <c r="X452" s="39">
        <v>0</v>
      </c>
      <c r="Y452" s="39">
        <v>0</v>
      </c>
      <c r="Z452" s="39">
        <v>0</v>
      </c>
      <c r="AA452" s="39">
        <v>0</v>
      </c>
      <c r="AB452" s="39">
        <v>0</v>
      </c>
      <c r="AC452" s="39">
        <v>0</v>
      </c>
    </row>
    <row r="453" spans="1:29" ht="16.5" x14ac:dyDescent="0.15">
      <c r="A453" s="35" t="s">
        <v>36</v>
      </c>
      <c r="B453" s="35" t="s">
        <v>906</v>
      </c>
      <c r="C453" s="36"/>
      <c r="D453" s="35" t="s">
        <v>36</v>
      </c>
      <c r="E453" s="14" t="s">
        <v>912</v>
      </c>
      <c r="F453" s="16">
        <v>3850000</v>
      </c>
      <c r="G453" s="16">
        <v>3632075.4716981133</v>
      </c>
      <c r="H453" s="37">
        <v>0.85000000000000009</v>
      </c>
      <c r="I453" s="16">
        <v>3087264.1509433966</v>
      </c>
      <c r="J453" s="15"/>
      <c r="K453" s="35" t="s">
        <v>913</v>
      </c>
      <c r="L453" s="36">
        <v>12</v>
      </c>
      <c r="M453" s="36" t="s">
        <v>57</v>
      </c>
      <c r="N453" s="38">
        <v>0</v>
      </c>
      <c r="O453" s="36" t="s">
        <v>40</v>
      </c>
      <c r="P453" s="36"/>
      <c r="Q453" s="35" t="s">
        <v>914</v>
      </c>
      <c r="R453" s="40">
        <v>1</v>
      </c>
      <c r="S453" s="16">
        <v>3632075.4716981133</v>
      </c>
      <c r="T453" s="16">
        <v>3087264.1509433966</v>
      </c>
      <c r="U453" s="39">
        <v>0</v>
      </c>
      <c r="V453" s="40">
        <v>0</v>
      </c>
      <c r="W453" s="39">
        <v>0</v>
      </c>
      <c r="X453" s="39">
        <v>0</v>
      </c>
      <c r="Y453" s="39">
        <v>0</v>
      </c>
      <c r="Z453" s="39">
        <v>0</v>
      </c>
      <c r="AA453" s="39">
        <v>0</v>
      </c>
      <c r="AB453" s="39">
        <v>0</v>
      </c>
      <c r="AC453" s="39">
        <v>0</v>
      </c>
    </row>
    <row r="454" spans="1:29" ht="16.5" x14ac:dyDescent="0.35">
      <c r="A454" s="35" t="s">
        <v>36</v>
      </c>
      <c r="B454" s="35" t="s">
        <v>906</v>
      </c>
      <c r="C454" s="12"/>
      <c r="D454" s="35" t="s">
        <v>36</v>
      </c>
      <c r="E454" s="41" t="s">
        <v>915</v>
      </c>
      <c r="F454" s="42">
        <v>218900</v>
      </c>
      <c r="G454" s="42">
        <v>187094.01709401709</v>
      </c>
      <c r="H454" s="19">
        <v>0.7250678140703517</v>
      </c>
      <c r="I454" s="42">
        <v>135655.84999999998</v>
      </c>
      <c r="J454" s="43"/>
      <c r="K454" s="35" t="s">
        <v>900</v>
      </c>
      <c r="L454" s="35">
        <v>10</v>
      </c>
      <c r="M454" s="35" t="s">
        <v>57</v>
      </c>
      <c r="N454" s="44"/>
      <c r="O454" s="35" t="s">
        <v>40</v>
      </c>
      <c r="P454" s="19" t="s">
        <v>916</v>
      </c>
      <c r="Q454" s="35" t="s">
        <v>900</v>
      </c>
      <c r="R454" s="40">
        <v>1</v>
      </c>
      <c r="S454" s="42">
        <v>187094.01709401709</v>
      </c>
      <c r="T454" s="42">
        <v>135655.84999999998</v>
      </c>
      <c r="U454" s="39"/>
      <c r="V454" s="39"/>
      <c r="W454" s="39"/>
      <c r="X454" s="39"/>
      <c r="Y454" s="39"/>
      <c r="Z454" s="39"/>
      <c r="AA454" s="39"/>
      <c r="AB454" s="39"/>
      <c r="AC454" s="39"/>
    </row>
    <row r="455" spans="1:29" ht="16.5" x14ac:dyDescent="0.35">
      <c r="A455" s="35" t="s">
        <v>36</v>
      </c>
      <c r="B455" s="35" t="s">
        <v>906</v>
      </c>
      <c r="C455" s="12"/>
      <c r="D455" s="35" t="s">
        <v>36</v>
      </c>
      <c r="E455" s="41" t="s">
        <v>915</v>
      </c>
      <c r="F455" s="42">
        <v>116050</v>
      </c>
      <c r="G455" s="42">
        <v>99188.034188034188</v>
      </c>
      <c r="H455" s="19">
        <v>5.2134312796208532E-2</v>
      </c>
      <c r="I455" s="42">
        <v>5171.1000000000004</v>
      </c>
      <c r="J455" s="43"/>
      <c r="K455" s="35" t="s">
        <v>900</v>
      </c>
      <c r="L455" s="35">
        <v>10</v>
      </c>
      <c r="M455" s="35" t="s">
        <v>57</v>
      </c>
      <c r="N455" s="44"/>
      <c r="O455" s="35" t="s">
        <v>40</v>
      </c>
      <c r="P455" s="19" t="s">
        <v>916</v>
      </c>
      <c r="Q455" s="35" t="s">
        <v>900</v>
      </c>
      <c r="R455" s="40">
        <v>1</v>
      </c>
      <c r="S455" s="42">
        <v>99188.034188034188</v>
      </c>
      <c r="T455" s="42">
        <v>5171.1000000000004</v>
      </c>
      <c r="U455" s="39"/>
      <c r="V455" s="39"/>
      <c r="W455" s="39"/>
      <c r="X455" s="39"/>
      <c r="Y455" s="39"/>
      <c r="Z455" s="39"/>
      <c r="AA455" s="39"/>
      <c r="AB455" s="39"/>
      <c r="AC455" s="39"/>
    </row>
    <row r="456" spans="1:29" ht="16.5" x14ac:dyDescent="0.35">
      <c r="A456" s="35" t="s">
        <v>36</v>
      </c>
      <c r="B456" s="35" t="s">
        <v>906</v>
      </c>
      <c r="C456" s="12"/>
      <c r="D456" s="35" t="s">
        <v>36</v>
      </c>
      <c r="E456" s="41" t="s">
        <v>910</v>
      </c>
      <c r="F456" s="42">
        <v>155600</v>
      </c>
      <c r="G456" s="42">
        <v>132991.452991453</v>
      </c>
      <c r="H456" s="19">
        <v>0.71909105321336753</v>
      </c>
      <c r="I456" s="42">
        <v>95632.963999999993</v>
      </c>
      <c r="J456" s="43"/>
      <c r="K456" s="35" t="s">
        <v>900</v>
      </c>
      <c r="L456" s="35">
        <v>10</v>
      </c>
      <c r="M456" s="35" t="s">
        <v>57</v>
      </c>
      <c r="N456" s="44"/>
      <c r="O456" s="35" t="s">
        <v>40</v>
      </c>
      <c r="P456" s="19" t="s">
        <v>917</v>
      </c>
      <c r="Q456" s="35" t="s">
        <v>900</v>
      </c>
      <c r="R456" s="40">
        <v>1</v>
      </c>
      <c r="S456" s="42">
        <v>132991.452991453</v>
      </c>
      <c r="T456" s="42">
        <v>95632.963999999993</v>
      </c>
      <c r="U456" s="39"/>
      <c r="V456" s="39"/>
      <c r="W456" s="39"/>
      <c r="X456" s="39"/>
      <c r="Y456" s="39"/>
      <c r="Z456" s="39"/>
      <c r="AA456" s="39"/>
      <c r="AB456" s="39"/>
      <c r="AC456" s="39"/>
    </row>
    <row r="457" spans="1:29" ht="16.5" x14ac:dyDescent="0.35">
      <c r="A457" s="35" t="s">
        <v>36</v>
      </c>
      <c r="B457" s="35" t="s">
        <v>906</v>
      </c>
      <c r="C457" s="12"/>
      <c r="D457" s="35" t="s">
        <v>36</v>
      </c>
      <c r="E457" s="41" t="s">
        <v>910</v>
      </c>
      <c r="F457" s="42">
        <v>84400</v>
      </c>
      <c r="G457" s="42">
        <v>72136.75213675214</v>
      </c>
      <c r="H457" s="19">
        <v>5.213270473933649E-2</v>
      </c>
      <c r="I457" s="42">
        <v>3760.6839999999997</v>
      </c>
      <c r="J457" s="43"/>
      <c r="K457" s="35" t="s">
        <v>900</v>
      </c>
      <c r="L457" s="35">
        <v>10</v>
      </c>
      <c r="M457" s="35" t="s">
        <v>57</v>
      </c>
      <c r="N457" s="44"/>
      <c r="O457" s="35" t="s">
        <v>40</v>
      </c>
      <c r="P457" s="19" t="s">
        <v>917</v>
      </c>
      <c r="Q457" s="35" t="s">
        <v>900</v>
      </c>
      <c r="R457" s="40">
        <v>1</v>
      </c>
      <c r="S457" s="42">
        <v>72136.75213675214</v>
      </c>
      <c r="T457" s="42">
        <v>3760.6839999999997</v>
      </c>
      <c r="U457" s="39"/>
      <c r="V457" s="39"/>
      <c r="W457" s="39"/>
      <c r="X457" s="39"/>
      <c r="Y457" s="39"/>
      <c r="Z457" s="39"/>
      <c r="AA457" s="39"/>
      <c r="AB457" s="39"/>
      <c r="AC457" s="39"/>
    </row>
    <row r="458" spans="1:29" ht="16.5" x14ac:dyDescent="0.35">
      <c r="A458" s="35" t="s">
        <v>306</v>
      </c>
      <c r="B458" s="35" t="s">
        <v>906</v>
      </c>
      <c r="C458" s="12"/>
      <c r="D458" s="35" t="s">
        <v>306</v>
      </c>
      <c r="E458" s="41" t="s">
        <v>903</v>
      </c>
      <c r="F458" s="42">
        <v>2025000</v>
      </c>
      <c r="G458" s="42">
        <v>1910377.35849057</v>
      </c>
      <c r="H458" s="19">
        <v>0.75</v>
      </c>
      <c r="I458" s="42">
        <v>1432783.0188679246</v>
      </c>
      <c r="J458" s="43"/>
      <c r="K458" s="35">
        <v>0</v>
      </c>
      <c r="L458" s="35">
        <v>10</v>
      </c>
      <c r="M458" s="35" t="s">
        <v>57</v>
      </c>
      <c r="N458" s="44"/>
      <c r="O458" s="35" t="s">
        <v>310</v>
      </c>
      <c r="P458" s="19" t="s">
        <v>904</v>
      </c>
      <c r="Q458" s="39" t="s">
        <v>905</v>
      </c>
      <c r="R458" s="40">
        <v>0.6</v>
      </c>
      <c r="S458" s="42">
        <v>1150000</v>
      </c>
      <c r="T458" s="39">
        <v>859668</v>
      </c>
      <c r="U458" s="39" t="s">
        <v>902</v>
      </c>
      <c r="V458" s="155">
        <v>0.4</v>
      </c>
      <c r="W458" s="39">
        <v>764150</v>
      </c>
      <c r="X458" s="39">
        <v>573113</v>
      </c>
      <c r="Y458" s="39"/>
      <c r="Z458" s="39"/>
      <c r="AA458" s="39"/>
      <c r="AB458" s="39"/>
      <c r="AC458" s="39"/>
    </row>
    <row r="459" spans="1:29" ht="16.5" x14ac:dyDescent="0.35">
      <c r="A459" s="35" t="s">
        <v>36</v>
      </c>
      <c r="B459" s="35" t="s">
        <v>906</v>
      </c>
      <c r="C459" s="12"/>
      <c r="D459" s="35" t="s">
        <v>36</v>
      </c>
      <c r="E459" s="41" t="s">
        <v>918</v>
      </c>
      <c r="F459" s="42">
        <v>130000</v>
      </c>
      <c r="G459" s="42">
        <v>122641.50943396226</v>
      </c>
      <c r="H459" s="19">
        <v>1</v>
      </c>
      <c r="I459" s="42">
        <v>122641.50943396226</v>
      </c>
      <c r="J459" s="43"/>
      <c r="K459" s="35" t="s">
        <v>919</v>
      </c>
      <c r="L459" s="35">
        <v>10</v>
      </c>
      <c r="M459" s="35" t="s">
        <v>57</v>
      </c>
      <c r="N459" s="44"/>
      <c r="O459" s="35" t="s">
        <v>40</v>
      </c>
      <c r="P459" s="19" t="s">
        <v>920</v>
      </c>
      <c r="Q459" s="35" t="s">
        <v>919</v>
      </c>
      <c r="R459" s="40">
        <v>1</v>
      </c>
      <c r="S459" s="42">
        <v>122641.50943396226</v>
      </c>
      <c r="T459" s="42">
        <v>122641.50943396226</v>
      </c>
      <c r="U459" s="39"/>
      <c r="V459" s="39"/>
      <c r="W459" s="39"/>
      <c r="X459" s="39"/>
      <c r="Y459" s="39"/>
      <c r="Z459" s="39"/>
      <c r="AA459" s="39"/>
      <c r="AB459" s="39"/>
      <c r="AC459" s="39"/>
    </row>
    <row r="460" spans="1:29" ht="16.5" x14ac:dyDescent="0.15">
      <c r="A460" s="35" t="s">
        <v>36</v>
      </c>
      <c r="B460" s="35" t="s">
        <v>898</v>
      </c>
      <c r="C460" s="36"/>
      <c r="D460" s="35" t="s">
        <v>36</v>
      </c>
      <c r="E460" s="14" t="s">
        <v>921</v>
      </c>
      <c r="F460" s="16">
        <v>13947.5</v>
      </c>
      <c r="G460" s="16">
        <v>13158.018867924528</v>
      </c>
      <c r="H460" s="37">
        <v>0.93188743502419791</v>
      </c>
      <c r="I460" s="16">
        <v>12261.792452830188</v>
      </c>
      <c r="J460" s="15"/>
      <c r="K460" s="35" t="s">
        <v>900</v>
      </c>
      <c r="L460" s="36">
        <v>11</v>
      </c>
      <c r="M460" s="36" t="s">
        <v>57</v>
      </c>
      <c r="N460" s="38">
        <v>0</v>
      </c>
      <c r="O460" s="36" t="s">
        <v>40</v>
      </c>
      <c r="P460" s="36"/>
      <c r="Q460" s="35" t="s">
        <v>900</v>
      </c>
      <c r="R460" s="40">
        <v>1</v>
      </c>
      <c r="S460" s="16">
        <v>13158.018867924528</v>
      </c>
      <c r="T460" s="16">
        <v>12261.792452830188</v>
      </c>
      <c r="U460" s="39"/>
      <c r="V460" s="39"/>
      <c r="W460" s="39"/>
      <c r="X460" s="39"/>
      <c r="Y460" s="39"/>
      <c r="Z460" s="39"/>
      <c r="AA460" s="39"/>
      <c r="AB460" s="39"/>
      <c r="AC460" s="39"/>
    </row>
    <row r="461" spans="1:29" ht="16.5" x14ac:dyDescent="0.15">
      <c r="A461" s="35" t="s">
        <v>36</v>
      </c>
      <c r="B461" s="35" t="s">
        <v>898</v>
      </c>
      <c r="C461" s="36"/>
      <c r="D461" s="35" t="s">
        <v>36</v>
      </c>
      <c r="E461" s="14" t="s">
        <v>922</v>
      </c>
      <c r="F461" s="16">
        <v>10052.5</v>
      </c>
      <c r="G461" s="16">
        <v>8591.8803418803418</v>
      </c>
      <c r="H461" s="37">
        <v>4.9987565282268095E-2</v>
      </c>
      <c r="I461" s="16">
        <v>429.4871794871795</v>
      </c>
      <c r="J461" s="15"/>
      <c r="K461" s="35" t="s">
        <v>900</v>
      </c>
      <c r="L461" s="36">
        <v>11</v>
      </c>
      <c r="M461" s="36" t="s">
        <v>57</v>
      </c>
      <c r="N461" s="38">
        <v>0</v>
      </c>
      <c r="O461" s="36" t="s">
        <v>40</v>
      </c>
      <c r="P461" s="36"/>
      <c r="Q461" s="35" t="s">
        <v>900</v>
      </c>
      <c r="R461" s="40">
        <v>1</v>
      </c>
      <c r="S461" s="16">
        <v>8591.8803418803418</v>
      </c>
      <c r="T461" s="16">
        <v>429.4871794871795</v>
      </c>
      <c r="U461" s="39"/>
      <c r="V461" s="39"/>
      <c r="W461" s="39"/>
      <c r="X461" s="39"/>
      <c r="Y461" s="39"/>
      <c r="Z461" s="39"/>
      <c r="AA461" s="39"/>
      <c r="AB461" s="39"/>
      <c r="AC461" s="39"/>
    </row>
    <row r="462" spans="1:29" ht="16.5" x14ac:dyDescent="0.15">
      <c r="A462" s="35" t="s">
        <v>36</v>
      </c>
      <c r="B462" s="35" t="s">
        <v>898</v>
      </c>
      <c r="C462" s="36"/>
      <c r="D462" s="35" t="s">
        <v>36</v>
      </c>
      <c r="E462" s="14" t="s">
        <v>923</v>
      </c>
      <c r="F462" s="16">
        <v>13947.5</v>
      </c>
      <c r="G462" s="16">
        <v>13158.018867924528</v>
      </c>
      <c r="H462" s="37">
        <v>0.93188743502419791</v>
      </c>
      <c r="I462" s="16">
        <v>12261.792452830188</v>
      </c>
      <c r="J462" s="15"/>
      <c r="K462" s="35" t="s">
        <v>900</v>
      </c>
      <c r="L462" s="36">
        <v>11</v>
      </c>
      <c r="M462" s="36" t="s">
        <v>57</v>
      </c>
      <c r="N462" s="38">
        <v>0</v>
      </c>
      <c r="O462" s="36" t="s">
        <v>40</v>
      </c>
      <c r="P462" s="36"/>
      <c r="Q462" s="35" t="s">
        <v>900</v>
      </c>
      <c r="R462" s="40">
        <v>1</v>
      </c>
      <c r="S462" s="16">
        <v>13158.018867924528</v>
      </c>
      <c r="T462" s="16">
        <v>12261.792452830188</v>
      </c>
      <c r="U462" s="39"/>
      <c r="V462" s="39"/>
      <c r="W462" s="39"/>
      <c r="X462" s="39"/>
      <c r="Y462" s="39"/>
      <c r="Z462" s="39"/>
      <c r="AA462" s="39"/>
      <c r="AB462" s="39"/>
      <c r="AC462" s="39"/>
    </row>
    <row r="463" spans="1:29" ht="16.5" x14ac:dyDescent="0.15">
      <c r="A463" s="35" t="s">
        <v>36</v>
      </c>
      <c r="B463" s="35" t="s">
        <v>898</v>
      </c>
      <c r="C463" s="36"/>
      <c r="D463" s="35" t="s">
        <v>36</v>
      </c>
      <c r="E463" s="14" t="s">
        <v>924</v>
      </c>
      <c r="F463" s="16">
        <v>10052.5</v>
      </c>
      <c r="G463" s="16">
        <v>8591.8803418803418</v>
      </c>
      <c r="H463" s="37">
        <v>4.9987565282268095E-2</v>
      </c>
      <c r="I463" s="16">
        <v>429.4871794871795</v>
      </c>
      <c r="J463" s="15"/>
      <c r="K463" s="35" t="s">
        <v>900</v>
      </c>
      <c r="L463" s="36">
        <v>11</v>
      </c>
      <c r="M463" s="36" t="s">
        <v>57</v>
      </c>
      <c r="N463" s="38">
        <v>0</v>
      </c>
      <c r="O463" s="36" t="s">
        <v>40</v>
      </c>
      <c r="P463" s="36"/>
      <c r="Q463" s="35" t="s">
        <v>900</v>
      </c>
      <c r="R463" s="40">
        <v>1</v>
      </c>
      <c r="S463" s="16">
        <v>8591.8803418803418</v>
      </c>
      <c r="T463" s="16">
        <v>429.4871794871795</v>
      </c>
      <c r="U463" s="39"/>
      <c r="V463" s="39"/>
      <c r="W463" s="39"/>
      <c r="X463" s="39"/>
      <c r="Y463" s="39"/>
      <c r="Z463" s="39"/>
      <c r="AA463" s="39"/>
      <c r="AB463" s="39"/>
      <c r="AC463" s="39"/>
    </row>
    <row r="464" spans="1:29" ht="16.5" x14ac:dyDescent="0.15">
      <c r="A464" s="35" t="s">
        <v>306</v>
      </c>
      <c r="B464" s="35" t="s">
        <v>898</v>
      </c>
      <c r="C464" s="48"/>
      <c r="D464" s="49" t="s">
        <v>306</v>
      </c>
      <c r="E464" s="14" t="s">
        <v>903</v>
      </c>
      <c r="F464" s="16">
        <v>-2025000</v>
      </c>
      <c r="G464" s="16">
        <v>-1910377.358490566</v>
      </c>
      <c r="H464" s="37">
        <v>0.75</v>
      </c>
      <c r="I464" s="16">
        <v>-1432783.0188679246</v>
      </c>
      <c r="J464" s="50"/>
      <c r="K464" s="35">
        <v>0</v>
      </c>
      <c r="L464" s="36">
        <v>11</v>
      </c>
      <c r="M464" s="36" t="s">
        <v>57</v>
      </c>
      <c r="N464" s="38">
        <v>0</v>
      </c>
      <c r="O464" s="36" t="s">
        <v>310</v>
      </c>
      <c r="P464" s="48"/>
      <c r="Q464" s="39" t="s">
        <v>905</v>
      </c>
      <c r="R464" s="155">
        <v>0.6</v>
      </c>
      <c r="S464" s="39">
        <v>1150000</v>
      </c>
      <c r="T464" s="39">
        <v>859668</v>
      </c>
      <c r="U464" s="39" t="s">
        <v>902</v>
      </c>
      <c r="V464" s="155">
        <v>0.4</v>
      </c>
      <c r="W464" s="39">
        <v>764150</v>
      </c>
      <c r="X464" s="39">
        <v>573113</v>
      </c>
      <c r="Y464" s="39"/>
      <c r="Z464" s="39"/>
      <c r="AA464" s="39"/>
      <c r="AB464" s="39"/>
      <c r="AC464" s="39"/>
    </row>
    <row r="465" spans="1:29" ht="16.5" x14ac:dyDescent="0.15">
      <c r="A465" s="35" t="s">
        <v>306</v>
      </c>
      <c r="B465" s="35" t="s">
        <v>898</v>
      </c>
      <c r="C465" s="48"/>
      <c r="D465" s="49" t="s">
        <v>306</v>
      </c>
      <c r="E465" s="14" t="s">
        <v>903</v>
      </c>
      <c r="F465" s="16">
        <v>2025000</v>
      </c>
      <c r="G465" s="16">
        <v>1910377.358490566</v>
      </c>
      <c r="H465" s="37">
        <v>0.81779999999999997</v>
      </c>
      <c r="I465" s="16">
        <v>1562306.6037735848</v>
      </c>
      <c r="J465" s="50"/>
      <c r="K465" s="35">
        <v>0</v>
      </c>
      <c r="L465" s="36">
        <v>11</v>
      </c>
      <c r="M465" s="36" t="s">
        <v>57</v>
      </c>
      <c r="N465" s="38">
        <v>0</v>
      </c>
      <c r="O465" s="36" t="s">
        <v>310</v>
      </c>
      <c r="P465" s="48"/>
      <c r="Q465" s="39" t="s">
        <v>905</v>
      </c>
      <c r="R465" s="155">
        <v>0.6</v>
      </c>
      <c r="S465" s="39">
        <v>1150000</v>
      </c>
      <c r="T465" s="39">
        <v>937384</v>
      </c>
      <c r="U465" s="39" t="s">
        <v>902</v>
      </c>
      <c r="V465" s="155">
        <v>0.4</v>
      </c>
      <c r="W465" s="39">
        <v>764150</v>
      </c>
      <c r="X465" s="39">
        <v>624922</v>
      </c>
      <c r="Y465" s="39"/>
      <c r="Z465" s="39"/>
      <c r="AA465" s="39"/>
      <c r="AB465" s="39"/>
      <c r="AC465" s="39"/>
    </row>
    <row r="467" spans="1:29" x14ac:dyDescent="0.15">
      <c r="I467">
        <v>0</v>
      </c>
    </row>
  </sheetData>
  <autoFilter ref="A1:AC465">
    <sortState ref="A2:AC729">
      <sortCondition sortBy="cellColor" ref="AC1:AC729" dxfId="0"/>
    </sortState>
  </autoFilter>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签单</vt:lpstr>
      <vt:lpstr>回款</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 Shen(沈飞宏)</dc:creator>
  <cp:lastModifiedBy>Andre Shen(沈飞宏)</cp:lastModifiedBy>
  <dcterms:created xsi:type="dcterms:W3CDTF">2018-01-08T08:25:12Z</dcterms:created>
  <dcterms:modified xsi:type="dcterms:W3CDTF">2018-01-09T09:37:04Z</dcterms:modified>
</cp:coreProperties>
</file>